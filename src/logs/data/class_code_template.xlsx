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7B7CA1-4B58-4CF9-ABA4-6F3A2773699D}" xr6:coauthVersionLast="47" xr6:coauthVersionMax="47" xr10:uidLastSave="{00000000-0000-0000-0000-000000000000}"/>
  <bookViews>
    <workbookView xWindow="-120" yWindow="-120" windowWidth="29040" windowHeight="15720" xr2:uid="{D86617F4-1367-4E9D-BECE-BFEDC312A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" i="1" l="1"/>
  <c r="H21" i="1" s="1"/>
  <c r="G20" i="1"/>
  <c r="G21" i="1" s="1"/>
  <c r="F20" i="1"/>
  <c r="F21" i="1" s="1"/>
  <c r="H22" i="1" l="1"/>
  <c r="F23" i="1"/>
  <c r="G23" i="1"/>
  <c r="H23" i="1"/>
  <c r="F22" i="1"/>
  <c r="G22" i="1"/>
</calcChain>
</file>

<file path=xl/sharedStrings.xml><?xml version="1.0" encoding="utf-8"?>
<sst xmlns="http://schemas.openxmlformats.org/spreadsheetml/2006/main" count="98" uniqueCount="86">
  <si>
    <t>Inception Date</t>
  </si>
  <si>
    <t>Renewal Image</t>
  </si>
  <si>
    <t>With IRPM  0.25</t>
  </si>
  <si>
    <t> </t>
  </si>
  <si>
    <t>Expiry Date</t>
  </si>
  <si>
    <t>Limits</t>
  </si>
  <si>
    <t>Coverage Code</t>
  </si>
  <si>
    <t>Sum Insured</t>
  </si>
  <si>
    <t>Base Rate</t>
  </si>
  <si>
    <t>Final Rate</t>
  </si>
  <si>
    <t>Premium</t>
  </si>
  <si>
    <t>Effective Date</t>
  </si>
  <si>
    <t>Property Section</t>
  </si>
  <si>
    <t>Building</t>
  </si>
  <si>
    <t>Business Personal Property</t>
  </si>
  <si>
    <t>Liability</t>
  </si>
  <si>
    <t>Base Loss Costs</t>
  </si>
  <si>
    <t>Number Of Employees</t>
  </si>
  <si>
    <t>Prop Rate Group Number RF</t>
  </si>
  <si>
    <t>Type of Entity</t>
  </si>
  <si>
    <t>Construction Class RF</t>
  </si>
  <si>
    <t>First Named Insured</t>
  </si>
  <si>
    <t>Limit of Insurance(LOI) RF</t>
  </si>
  <si>
    <t>Fire PPC Factor RF</t>
  </si>
  <si>
    <t>Owner's First Name</t>
  </si>
  <si>
    <t>BCEG Factor RF</t>
  </si>
  <si>
    <t>Owner's Last Name</t>
  </si>
  <si>
    <t>Sprinkler RF</t>
  </si>
  <si>
    <t>Deductible RF</t>
  </si>
  <si>
    <t>Mailing Address</t>
  </si>
  <si>
    <t>LCM factor( Tier Based)</t>
  </si>
  <si>
    <t>IRPM Factor</t>
  </si>
  <si>
    <t>Risk Address</t>
  </si>
  <si>
    <t>Business Income And Extra Expense – Revised Period Of Indemnity (in months)</t>
  </si>
  <si>
    <t>Business Not Listed</t>
  </si>
  <si>
    <t>No</t>
  </si>
  <si>
    <t>Liability  Section</t>
  </si>
  <si>
    <t>Kind of Business Type</t>
  </si>
  <si>
    <t>Liability Class Group Factor</t>
  </si>
  <si>
    <t>Lessors Risk</t>
  </si>
  <si>
    <t>Business Type</t>
  </si>
  <si>
    <t>Liability Increased Limits RF</t>
  </si>
  <si>
    <t>Cafes: Limited cooking</t>
  </si>
  <si>
    <t>Years of experience in this business category</t>
  </si>
  <si>
    <t>Property Damage Deductible Factor</t>
  </si>
  <si>
    <t>Interest Plan</t>
  </si>
  <si>
    <t>Property/Liability  Base Rate</t>
  </si>
  <si>
    <t>Premium Plan</t>
  </si>
  <si>
    <t>Final Property/Liability  Rate</t>
  </si>
  <si>
    <t>Estimated Annual Turnover</t>
  </si>
  <si>
    <t>Base Premium</t>
  </si>
  <si>
    <t>Deductible Fixed Dollar</t>
  </si>
  <si>
    <t>Final  Premium Bldng/BPP/Liab</t>
  </si>
  <si>
    <t>Deductible Windstorm Hail %</t>
  </si>
  <si>
    <t>Blank</t>
  </si>
  <si>
    <t xml:space="preserve">Property Rate </t>
  </si>
  <si>
    <t>WindstormDedDisplay</t>
  </si>
  <si>
    <t>WindstormDedPossibleValues</t>
  </si>
  <si>
    <t>Type of space</t>
  </si>
  <si>
    <t>LRO Details</t>
  </si>
  <si>
    <t>moreThanOneOccupant</t>
  </si>
  <si>
    <t>Building ownership percentage</t>
  </si>
  <si>
    <t>DisplayRestaurantQuestionary</t>
  </si>
  <si>
    <t>Is there a restaurant in the building?</t>
  </si>
  <si>
    <t>Building Details</t>
  </si>
  <si>
    <t>Type of Structure</t>
  </si>
  <si>
    <t>Masonry Non- combustible</t>
  </si>
  <si>
    <t>Type of Roof</t>
  </si>
  <si>
    <t>Built-up(with gravel)</t>
  </si>
  <si>
    <t>Roof Upgraded</t>
  </si>
  <si>
    <t>Yes</t>
  </si>
  <si>
    <t>Number of Floors in the Building</t>
  </si>
  <si>
    <t>Year built</t>
  </si>
  <si>
    <t>Automatic Fire Alarm Installed?</t>
  </si>
  <si>
    <t>Automatic Sprinkler Installed?</t>
  </si>
  <si>
    <t>Security Service</t>
  </si>
  <si>
    <t>Building UW Tier</t>
  </si>
  <si>
    <t>T4</t>
  </si>
  <si>
    <t>Building BCEG</t>
  </si>
  <si>
    <t>Building Square Footage</t>
  </si>
  <si>
    <t>Vacancy Percent of Area Vacant</t>
  </si>
  <si>
    <t>Habitational Percent of Area</t>
  </si>
  <si>
    <t>Crime Factor</t>
  </si>
  <si>
    <t>Liens Count</t>
  </si>
  <si>
    <t>Bankruptcy Count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</si>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</sst>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6" formatCode="&quot;$&quot;#,##0_);[Red]\(&quot;$&quot;#,##0\)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C51162"/>
      <name val="FSMe"/>
      <charset val="1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9"/>
      <color rgb="FF000000"/>
      <name val="Arial"/>
      <family val="2"/>
    </font>
    <font>
      <sz val="11"/>
      <color rgb="FF242424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2" xfId="0" applyBorder="1"/>
    <xf numFmtId="0" fontId="1" fillId="2" borderId="0" xfId="0" applyFont="1" applyFill="1"/>
    <xf numFmtId="15" fontId="0" fillId="0" borderId="2" xfId="0" applyNumberFormat="1" applyBorder="1" applyAlignment="1">
      <alignment horizontal="left"/>
    </xf>
    <xf numFmtId="0" fontId="4" fillId="3" borderId="2" xfId="0" applyFont="1" applyFill="1" applyBorder="1"/>
    <xf numFmtId="0" fontId="4" fillId="3" borderId="3" xfId="0" applyFont="1" applyFill="1" applyBorder="1"/>
    <xf numFmtId="0" fontId="1" fillId="0" borderId="2" xfId="0" applyFont="1" applyBorder="1"/>
    <xf numFmtId="164" fontId="5" fillId="0" borderId="1" xfId="0" applyNumberFormat="1" applyFont="1" applyBorder="1" applyAlignment="1">
      <alignment horizontal="center" vertical="center" wrapText="1" readingOrder="1"/>
    </xf>
    <xf numFmtId="0" fontId="1" fillId="0" borderId="4" xfId="0" applyFont="1" applyBorder="1"/>
    <xf numFmtId="0" fontId="0" fillId="0" borderId="4" xfId="0" applyBorder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4" borderId="2" xfId="0" applyFill="1" applyBorder="1"/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0" fontId="6" fillId="4" borderId="0" xfId="0" applyFont="1" applyFill="1"/>
    <xf numFmtId="0" fontId="0" fillId="5" borderId="2" xfId="0" applyFill="1" applyBorder="1"/>
    <xf numFmtId="0" fontId="0" fillId="5" borderId="2" xfId="0" applyFill="1" applyBorder="1" applyAlignment="1">
      <alignment vertical="top"/>
    </xf>
    <xf numFmtId="0" fontId="1" fillId="6" borderId="2" xfId="0" applyFont="1" applyFill="1" applyBorder="1"/>
    <xf numFmtId="0" fontId="0" fillId="6" borderId="2" xfId="0" applyFill="1" applyBorder="1" applyAlignment="1">
      <alignment vertical="top"/>
    </xf>
    <xf numFmtId="166" fontId="3" fillId="0" borderId="2" xfId="0" applyNumberFormat="1" applyFont="1" applyBorder="1" applyAlignment="1">
      <alignment horizontal="left"/>
    </xf>
    <xf numFmtId="0" fontId="1" fillId="7" borderId="2" xfId="0" applyFont="1" applyFill="1" applyBorder="1"/>
    <xf numFmtId="0" fontId="0" fillId="7" borderId="2" xfId="0" applyFill="1" applyBorder="1" applyAlignment="1">
      <alignment vertical="top"/>
    </xf>
    <xf numFmtId="9" fontId="3" fillId="0" borderId="2" xfId="0" applyNumberFormat="1" applyFont="1" applyBorder="1" applyAlignment="1">
      <alignment horizontal="lef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B97E-C1EA-4E16-A979-FB2D0FB74618}">
  <dimension ref="A1:X52"/>
  <sheetViews>
    <sheetView tabSelected="1" workbookViewId="0">
      <selection activeCell="S14" sqref="S14"/>
    </sheetView>
  </sheetViews>
  <sheetFormatPr defaultRowHeight="15"/>
  <cols>
    <col min="1" max="1" width="14.7109375" bestFit="1" customWidth="1"/>
    <col min="2" max="2" width="38.85546875" bestFit="1" customWidth="1"/>
    <col min="3" max="3" width="45" bestFit="1" customWidth="1"/>
    <col min="5" max="5" width="32" bestFit="1" customWidth="1"/>
    <col min="6" max="6" width="8.42578125" bestFit="1" customWidth="1"/>
    <col min="8" max="8" width="8.42578125" bestFit="1" customWidth="1"/>
    <col min="9" max="9" width="1.28515625" bestFit="1" customWidth="1"/>
    <col min="11" max="11" width="15" bestFit="1" customWidth="1"/>
    <col min="12" max="12" width="12.28515625" bestFit="1" customWidth="1"/>
  </cols>
  <sheetData>
    <row r="1" spans="1:15">
      <c r="A1" s="3"/>
      <c r="B1" s="1"/>
      <c r="C1" s="2"/>
    </row>
    <row r="2" spans="1:15">
      <c r="A2" s="5" t="s">
        <v>1</v>
      </c>
      <c r="B2" s="4" t="s">
        <v>0</v>
      </c>
      <c r="C2" s="6"/>
      <c r="E2" s="7" t="s">
        <v>2</v>
      </c>
      <c r="F2" s="8" t="s">
        <v>3</v>
      </c>
      <c r="G2" s="8" t="s">
        <v>3</v>
      </c>
      <c r="H2" s="8" t="s">
        <v>3</v>
      </c>
      <c r="I2" t="s">
        <v>3</v>
      </c>
      <c r="K2" s="8" t="s">
        <v>3</v>
      </c>
      <c r="L2" s="8" t="s">
        <v>3</v>
      </c>
      <c r="M2" s="8" t="s">
        <v>3</v>
      </c>
      <c r="N2" s="8" t="s">
        <v>3</v>
      </c>
      <c r="O2" s="8" t="s">
        <v>3</v>
      </c>
    </row>
    <row r="3" spans="1:15">
      <c r="B3" s="4" t="s">
        <v>4</v>
      </c>
      <c r="C3" s="6"/>
      <c r="E3" s="11" t="s">
        <v>5</v>
      </c>
      <c r="F3" s="12"/>
      <c r="G3" s="10"/>
      <c r="H3" s="12"/>
      <c r="K3" s="13" t="s">
        <v>6</v>
      </c>
      <c r="L3" s="13" t="s">
        <v>7</v>
      </c>
      <c r="M3" s="13" t="s">
        <v>8</v>
      </c>
      <c r="N3" s="13" t="s">
        <v>9</v>
      </c>
      <c r="O3" s="13" t="s">
        <v>10</v>
      </c>
    </row>
    <row r="4" spans="1:15" ht="60">
      <c r="B4" s="4" t="s">
        <v>11</v>
      </c>
      <c r="C4" s="6"/>
      <c r="E4" s="14" t="s">
        <v>12</v>
      </c>
      <c r="F4" s="14" t="s">
        <v>13</v>
      </c>
      <c r="G4" s="15" t="s">
        <v>14</v>
      </c>
      <c r="H4" s="14" t="s">
        <v>15</v>
      </c>
    </row>
    <row r="5" spans="1:15">
      <c r="B5" s="4"/>
      <c r="C5" s="19"/>
      <c r="E5" s="4" t="s">
        <v>16</v>
      </c>
      <c r="F5" s="12"/>
      <c r="G5" s="12"/>
      <c r="H5" s="12"/>
    </row>
    <row r="6" spans="1:15">
      <c r="B6" s="4" t="s">
        <v>17</v>
      </c>
      <c r="C6" s="18"/>
      <c r="E6" s="4" t="s">
        <v>18</v>
      </c>
      <c r="F6" s="12"/>
      <c r="G6" s="12"/>
      <c r="H6" s="12"/>
    </row>
    <row r="7" spans="1:15">
      <c r="B7" s="4" t="s">
        <v>19</v>
      </c>
      <c r="C7" s="18"/>
      <c r="E7" s="4" t="s">
        <v>20</v>
      </c>
      <c r="F7" s="12"/>
      <c r="G7" s="12"/>
      <c r="H7" s="12"/>
    </row>
    <row r="8" spans="1:15">
      <c r="B8" s="4" t="s">
        <v>21</v>
      </c>
      <c r="C8" s="18"/>
      <c r="E8" s="4" t="s">
        <v>22</v>
      </c>
      <c r="F8" s="12"/>
      <c r="G8" s="12"/>
      <c r="H8" s="12"/>
    </row>
    <row r="9" spans="1:15">
      <c r="B9" s="4"/>
      <c r="C9" s="18"/>
      <c r="E9" s="4" t="s">
        <v>23</v>
      </c>
      <c r="F9" s="12"/>
      <c r="G9" s="12"/>
      <c r="H9" s="12"/>
    </row>
    <row r="10" spans="1:15">
      <c r="B10" s="4" t="s">
        <v>24</v>
      </c>
      <c r="C10" s="18"/>
      <c r="E10" s="4" t="s">
        <v>25</v>
      </c>
      <c r="F10" s="12"/>
      <c r="G10" s="12"/>
      <c r="H10" s="12"/>
    </row>
    <row r="11" spans="1:15">
      <c r="B11" s="4" t="s">
        <v>26</v>
      </c>
      <c r="C11" s="18"/>
      <c r="E11" s="4" t="s">
        <v>27</v>
      </c>
      <c r="F11" s="12"/>
      <c r="G11" s="12"/>
      <c r="H11" s="12"/>
    </row>
    <row r="12" spans="1:15">
      <c r="B12" s="4"/>
      <c r="C12" s="18"/>
      <c r="E12" s="4" t="s">
        <v>28</v>
      </c>
      <c r="F12" s="12"/>
      <c r="G12" s="12"/>
      <c r="H12" s="12"/>
    </row>
    <row r="13" spans="1:15">
      <c r="B13" s="4" t="s">
        <v>29</v>
      </c>
      <c r="C13" s="18"/>
      <c r="E13" s="9" t="s">
        <v>30</v>
      </c>
      <c r="F13" s="12"/>
      <c r="G13" s="12"/>
      <c r="H13" s="12"/>
    </row>
    <row r="14" spans="1:15">
      <c r="B14" s="4"/>
      <c r="C14" s="18"/>
      <c r="E14" s="9" t="s">
        <v>31</v>
      </c>
      <c r="F14" s="12"/>
      <c r="G14" s="12"/>
      <c r="H14" s="12"/>
    </row>
    <row r="15" spans="1:15" ht="45">
      <c r="B15" s="9" t="s">
        <v>32</v>
      </c>
      <c r="C15" s="18"/>
      <c r="E15" s="20" t="s">
        <v>33</v>
      </c>
      <c r="F15" s="12"/>
      <c r="G15" s="12"/>
      <c r="H15" s="12"/>
    </row>
    <row r="16" spans="1:15">
      <c r="B16" s="4" t="s">
        <v>34</v>
      </c>
      <c r="C16" s="18"/>
      <c r="E16" s="9" t="s">
        <v>36</v>
      </c>
      <c r="F16" s="16"/>
      <c r="G16" s="16"/>
      <c r="H16" s="16"/>
    </row>
    <row r="17" spans="1:8">
      <c r="B17" s="4" t="s">
        <v>37</v>
      </c>
      <c r="C17" s="18" t="s">
        <v>39</v>
      </c>
      <c r="E17" s="4" t="s">
        <v>38</v>
      </c>
      <c r="F17" s="16"/>
      <c r="G17" s="16"/>
      <c r="H17" s="4"/>
    </row>
    <row r="18" spans="1:8">
      <c r="B18" s="17" t="s">
        <v>40</v>
      </c>
      <c r="C18" s="21" t="s">
        <v>42</v>
      </c>
      <c r="E18" s="4" t="s">
        <v>41</v>
      </c>
      <c r="F18" s="16"/>
      <c r="G18" s="16"/>
      <c r="H18" s="4"/>
    </row>
    <row r="19" spans="1:8">
      <c r="B19" s="4" t="s">
        <v>43</v>
      </c>
      <c r="C19" s="18"/>
      <c r="E19" s="4" t="s">
        <v>44</v>
      </c>
      <c r="F19" s="16"/>
      <c r="G19" s="16"/>
      <c r="H19" s="4"/>
    </row>
    <row r="20" spans="1:8">
      <c r="B20" s="4" t="s">
        <v>45</v>
      </c>
      <c r="C20" s="18" t="s">
        <v>47</v>
      </c>
      <c r="E20" s="22" t="s">
        <v>46</v>
      </c>
      <c r="F20" s="23">
        <f>ROUND(F5*F6*F7*F8*F9*F10*F11*F12*F15,3)</f>
        <v>0</v>
      </c>
      <c r="G20" s="23">
        <f>ROUND(G5*G6*G7*G8*G9*G10*G11*G12*G15,3)</f>
        <v>0</v>
      </c>
      <c r="H20" s="23">
        <f>ROUND(H5*H17*H18*H19,3)</f>
        <v>0</v>
      </c>
    </row>
    <row r="21" spans="1:8">
      <c r="B21" s="4"/>
      <c r="C21" s="18"/>
      <c r="E21" s="4" t="s">
        <v>48</v>
      </c>
      <c r="F21" s="16">
        <f>ROUND(F20*F13*(1+F14),3)</f>
        <v>0</v>
      </c>
      <c r="G21" s="16">
        <f>ROUND(G20*G13*(1+G14),3)</f>
        <v>0</v>
      </c>
      <c r="H21" s="16">
        <f>ROUND(H20*H13*(1+H14),3)</f>
        <v>0</v>
      </c>
    </row>
    <row r="22" spans="1:8">
      <c r="B22" s="4" t="s">
        <v>49</v>
      </c>
      <c r="C22" s="18">
        <v>1500000</v>
      </c>
      <c r="E22" s="24" t="s">
        <v>50</v>
      </c>
      <c r="F22" s="25">
        <f>ROUNDUP(F20*F3/100,0)</f>
        <v>0</v>
      </c>
      <c r="G22" s="25">
        <f>ROUNDUP(G20*G3/100,0)</f>
        <v>0</v>
      </c>
      <c r="H22" s="25">
        <f>ROUNDUP(H20*H3/100,0)</f>
        <v>0</v>
      </c>
    </row>
    <row r="23" spans="1:8">
      <c r="B23" s="4" t="s">
        <v>51</v>
      </c>
      <c r="C23" s="26">
        <v>2500</v>
      </c>
      <c r="E23" s="27" t="s">
        <v>52</v>
      </c>
      <c r="F23" s="28">
        <f>ROUNDUP(F21*F3/100,0)</f>
        <v>0</v>
      </c>
      <c r="G23" s="28">
        <f>ROUNDUP(G21*G3/100,0)</f>
        <v>0</v>
      </c>
      <c r="H23" s="28">
        <f>ROUNDUP(H21*H3/100,0)</f>
        <v>0</v>
      </c>
    </row>
    <row r="24" spans="1:8">
      <c r="B24" s="4" t="s">
        <v>53</v>
      </c>
      <c r="C24" s="29">
        <v>0.02</v>
      </c>
      <c r="E24" t="s">
        <v>55</v>
      </c>
    </row>
    <row r="25" spans="1:8">
      <c r="B25" s="4" t="s">
        <v>56</v>
      </c>
      <c r="C25" s="18"/>
    </row>
    <row r="26" spans="1:8">
      <c r="B26" s="4" t="s">
        <v>57</v>
      </c>
      <c r="C26" s="18"/>
    </row>
    <row r="27" spans="1:8">
      <c r="B27" s="4" t="s">
        <v>58</v>
      </c>
      <c r="C27" s="18"/>
    </row>
    <row r="28" spans="1:8">
      <c r="B28" s="30"/>
      <c r="C28" s="18"/>
    </row>
    <row r="29" spans="1:8">
      <c r="B29" s="30" t="s">
        <v>60</v>
      </c>
      <c r="C29" s="18" t="s">
        <v>54</v>
      </c>
    </row>
    <row r="30" spans="1:8">
      <c r="A30" s="9" t="s">
        <v>59</v>
      </c>
      <c r="B30" s="4" t="s">
        <v>61</v>
      </c>
      <c r="C30" s="18">
        <v>0</v>
      </c>
    </row>
    <row r="31" spans="1:8">
      <c r="B31" s="4" t="s">
        <v>62</v>
      </c>
      <c r="C31" s="18" t="s">
        <v>54</v>
      </c>
    </row>
    <row r="32" spans="1:8">
      <c r="B32" s="4" t="s">
        <v>63</v>
      </c>
      <c r="C32" s="18" t="s">
        <v>54</v>
      </c>
    </row>
    <row r="33" spans="1:3">
      <c r="B33" s="4"/>
      <c r="C33" s="18"/>
    </row>
    <row r="34" spans="1:3">
      <c r="B34" s="30" t="s">
        <v>65</v>
      </c>
      <c r="C34" s="18" t="s">
        <v>66</v>
      </c>
    </row>
    <row r="35" spans="1:3">
      <c r="A35" s="9" t="s">
        <v>64</v>
      </c>
      <c r="B35" s="4" t="s">
        <v>67</v>
      </c>
      <c r="C35" s="18" t="s">
        <v>68</v>
      </c>
    </row>
    <row r="36" spans="1:3">
      <c r="B36" s="4" t="s">
        <v>69</v>
      </c>
      <c r="C36" s="18" t="s">
        <v>70</v>
      </c>
    </row>
    <row r="37" spans="1:3">
      <c r="B37" s="4" t="s">
        <v>71</v>
      </c>
      <c r="C37" s="18">
        <v>1</v>
      </c>
    </row>
    <row r="38" spans="1:3">
      <c r="B38" s="4" t="s">
        <v>72</v>
      </c>
      <c r="C38" s="18">
        <v>1971</v>
      </c>
    </row>
    <row r="39" spans="1:3">
      <c r="B39" s="4"/>
      <c r="C39" s="18"/>
    </row>
    <row r="40" spans="1:3">
      <c r="B40" s="4" t="s">
        <v>73</v>
      </c>
      <c r="C40" s="18" t="s">
        <v>35</v>
      </c>
    </row>
    <row r="41" spans="1:3">
      <c r="B41" s="4" t="s">
        <v>74</v>
      </c>
      <c r="C41" s="18" t="s">
        <v>35</v>
      </c>
    </row>
    <row r="42" spans="1:3">
      <c r="B42" s="4" t="s">
        <v>75</v>
      </c>
      <c r="C42" s="18" t="s">
        <v>35</v>
      </c>
    </row>
    <row r="43" spans="1:3">
      <c r="B43" s="4"/>
      <c r="C43" s="18"/>
    </row>
    <row r="44" spans="1:3">
      <c r="B44" s="4" t="s">
        <v>76</v>
      </c>
      <c r="C44" s="18" t="s">
        <v>77</v>
      </c>
    </row>
    <row r="45" spans="1:3">
      <c r="B45" s="4" t="s">
        <v>78</v>
      </c>
      <c r="C45" s="18">
        <v>99</v>
      </c>
    </row>
    <row r="46" spans="1:3">
      <c r="B46" s="4" t="s">
        <v>79</v>
      </c>
      <c r="C46" s="18">
        <v>3811</v>
      </c>
    </row>
    <row r="47" spans="1:3">
      <c r="B47" s="4" t="s">
        <v>80</v>
      </c>
      <c r="C47" s="18">
        <v>0</v>
      </c>
    </row>
    <row r="48" spans="1:3">
      <c r="B48" s="4" t="s">
        <v>81</v>
      </c>
      <c r="C48" s="18">
        <v>0</v>
      </c>
    </row>
    <row r="49" spans="2:3">
      <c r="B49" s="4" t="s">
        <v>82</v>
      </c>
      <c r="C49" s="18">
        <v>27</v>
      </c>
    </row>
    <row r="50" spans="2:3">
      <c r="B50" s="4" t="s">
        <v>83</v>
      </c>
      <c r="C50" s="18">
        <v>0</v>
      </c>
    </row>
    <row r="51" spans="2:3">
      <c r="B51" s="4" t="s">
        <v>84</v>
      </c>
      <c r="C51" s="18">
        <v>0</v>
      </c>
    </row>
    <row r="52" spans="2:3">
      <c r="B52" s="4" t="s">
        <v>85</v>
      </c>
      <c r="C52" s="18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Rajkumar</dc:creator>
  <cp:lastModifiedBy>Ranjith Rajkumar</cp:lastModifiedBy>
  <dcterms:created xsi:type="dcterms:W3CDTF">2026-08-10T08:44:29Z</dcterms:created>
  <dcterms:modified xsi:type="dcterms:W3CDTF">2026-08-10T11:11:43Z</dcterms:modified>
</cp:coreProperties>
</file>