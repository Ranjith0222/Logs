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AAAAA05-F8FC-4656-92A5-22997D9CB7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MBP001029427Z01" sheetId="1" r:id="rId1"/>
    <sheet name="Build" sheetId="2" r:id="rId2"/>
    <sheet name="Item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1" i="3" l="1"/>
  <c r="Q111" i="2"/>
  <c r="N99" i="3"/>
  <c r="N110" i="3"/>
  <c r="L115" i="3"/>
  <c r="M115" i="3"/>
  <c r="N115" i="3"/>
  <c r="O115" i="3"/>
  <c r="L96" i="3"/>
  <c r="M96" i="3"/>
  <c r="N96" i="3"/>
  <c r="O96" i="3"/>
  <c r="L97" i="3"/>
  <c r="M97" i="3"/>
  <c r="N97" i="3"/>
  <c r="O97" i="3"/>
  <c r="L98" i="3"/>
  <c r="M98" i="3"/>
  <c r="N98" i="3"/>
  <c r="O98" i="3"/>
  <c r="L99" i="3"/>
  <c r="M99" i="3"/>
  <c r="O99" i="3"/>
  <c r="L100" i="3"/>
  <c r="M100" i="3"/>
  <c r="N100" i="3"/>
  <c r="O100" i="3"/>
  <c r="L101" i="3"/>
  <c r="M101" i="3"/>
  <c r="N101" i="3"/>
  <c r="O101" i="3"/>
  <c r="L102" i="3"/>
  <c r="M102" i="3"/>
  <c r="N102" i="3"/>
  <c r="O102" i="3"/>
  <c r="L103" i="3"/>
  <c r="M103" i="3"/>
  <c r="N103" i="3"/>
  <c r="O103" i="3"/>
  <c r="L104" i="3"/>
  <c r="M104" i="3"/>
  <c r="N104" i="3"/>
  <c r="O104" i="3"/>
  <c r="L105" i="3"/>
  <c r="M105" i="3"/>
  <c r="N105" i="3"/>
  <c r="O105" i="3"/>
  <c r="L106" i="3"/>
  <c r="M106" i="3"/>
  <c r="N106" i="3"/>
  <c r="O106" i="3"/>
  <c r="L107" i="3"/>
  <c r="M107" i="3"/>
  <c r="N107" i="3"/>
  <c r="O107" i="3"/>
  <c r="L108" i="3"/>
  <c r="M108" i="3"/>
  <c r="N108" i="3"/>
  <c r="O108" i="3"/>
  <c r="L109" i="3"/>
  <c r="M109" i="3"/>
  <c r="N109" i="3"/>
  <c r="O109" i="3"/>
  <c r="L110" i="3"/>
  <c r="M110" i="3"/>
  <c r="O110" i="3"/>
  <c r="L111" i="3"/>
  <c r="M111" i="3"/>
  <c r="O111" i="3"/>
  <c r="L112" i="3"/>
  <c r="M112" i="3"/>
  <c r="N112" i="3"/>
  <c r="O112" i="3"/>
  <c r="L113" i="3"/>
  <c r="M113" i="3"/>
  <c r="N113" i="3"/>
  <c r="O113" i="3"/>
  <c r="L114" i="3"/>
  <c r="M114" i="3"/>
  <c r="N114" i="3"/>
  <c r="O114" i="3"/>
  <c r="L34" i="3"/>
  <c r="M34" i="3"/>
  <c r="N34" i="3"/>
  <c r="O34" i="3"/>
  <c r="L35" i="3"/>
  <c r="M35" i="3"/>
  <c r="N35" i="3"/>
  <c r="O35" i="3"/>
  <c r="L36" i="3"/>
  <c r="M36" i="3"/>
  <c r="N36" i="3"/>
  <c r="O36" i="3"/>
  <c r="L37" i="3"/>
  <c r="M37" i="3"/>
  <c r="N37" i="3"/>
  <c r="O37" i="3"/>
  <c r="L38" i="3"/>
  <c r="M38" i="3"/>
  <c r="N38" i="3"/>
  <c r="O38" i="3"/>
  <c r="L39" i="3"/>
  <c r="M39" i="3"/>
  <c r="N39" i="3"/>
  <c r="O39" i="3"/>
  <c r="L40" i="3"/>
  <c r="M40" i="3"/>
  <c r="N40" i="3"/>
  <c r="O40" i="3"/>
  <c r="L41" i="3"/>
  <c r="M41" i="3"/>
  <c r="N41" i="3"/>
  <c r="O41" i="3"/>
  <c r="L42" i="3"/>
  <c r="M42" i="3"/>
  <c r="N42" i="3"/>
  <c r="O42" i="3"/>
  <c r="L43" i="3"/>
  <c r="M43" i="3"/>
  <c r="N43" i="3"/>
  <c r="O43" i="3"/>
  <c r="L44" i="3"/>
  <c r="M44" i="3"/>
  <c r="N44" i="3"/>
  <c r="O44" i="3"/>
  <c r="L45" i="3"/>
  <c r="M45" i="3"/>
  <c r="N45" i="3"/>
  <c r="O45" i="3"/>
  <c r="L46" i="3"/>
  <c r="M46" i="3"/>
  <c r="N46" i="3"/>
  <c r="O46" i="3"/>
  <c r="L47" i="3"/>
  <c r="M47" i="3"/>
  <c r="N47" i="3"/>
  <c r="O47" i="3"/>
  <c r="L48" i="3"/>
  <c r="M48" i="3"/>
  <c r="N48" i="3"/>
  <c r="O48" i="3"/>
  <c r="L49" i="3"/>
  <c r="M49" i="3"/>
  <c r="N49" i="3"/>
  <c r="O49" i="3"/>
  <c r="L50" i="3"/>
  <c r="M50" i="3"/>
  <c r="N50" i="3"/>
  <c r="O50" i="3"/>
  <c r="L51" i="3"/>
  <c r="M51" i="3"/>
  <c r="N51" i="3"/>
  <c r="O51" i="3"/>
  <c r="L52" i="3"/>
  <c r="M52" i="3"/>
  <c r="N52" i="3"/>
  <c r="O52" i="3"/>
  <c r="L53" i="3"/>
  <c r="M53" i="3"/>
  <c r="N53" i="3"/>
  <c r="O53" i="3"/>
  <c r="L54" i="3"/>
  <c r="M54" i="3"/>
  <c r="N54" i="3"/>
  <c r="O54" i="3"/>
  <c r="L55" i="3"/>
  <c r="M55" i="3"/>
  <c r="N55" i="3"/>
  <c r="O55" i="3"/>
  <c r="L56" i="3"/>
  <c r="M56" i="3"/>
  <c r="N56" i="3"/>
  <c r="O56" i="3"/>
  <c r="L57" i="3"/>
  <c r="M57" i="3"/>
  <c r="N57" i="3"/>
  <c r="O57" i="3"/>
  <c r="L58" i="3"/>
  <c r="M58" i="3"/>
  <c r="N58" i="3"/>
  <c r="O58" i="3"/>
  <c r="L59" i="3"/>
  <c r="M59" i="3"/>
  <c r="N59" i="3"/>
  <c r="O59" i="3"/>
  <c r="L60" i="3"/>
  <c r="M60" i="3"/>
  <c r="N60" i="3"/>
  <c r="O60" i="3"/>
  <c r="L61" i="3"/>
  <c r="M61" i="3"/>
  <c r="N61" i="3"/>
  <c r="O61" i="3"/>
  <c r="L62" i="3"/>
  <c r="M62" i="3"/>
  <c r="N62" i="3"/>
  <c r="O62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L67" i="3"/>
  <c r="M67" i="3"/>
  <c r="N67" i="3"/>
  <c r="O67" i="3"/>
  <c r="L68" i="3"/>
  <c r="M68" i="3"/>
  <c r="N68" i="3"/>
  <c r="O68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L73" i="3"/>
  <c r="M73" i="3"/>
  <c r="N73" i="3"/>
  <c r="O73" i="3"/>
  <c r="L74" i="3"/>
  <c r="M74" i="3"/>
  <c r="N74" i="3"/>
  <c r="O74" i="3"/>
  <c r="L75" i="3"/>
  <c r="M75" i="3"/>
  <c r="N75" i="3"/>
  <c r="O75" i="3"/>
  <c r="L76" i="3"/>
  <c r="M76" i="3"/>
  <c r="N76" i="3"/>
  <c r="O76" i="3"/>
  <c r="L77" i="3"/>
  <c r="M77" i="3"/>
  <c r="N77" i="3"/>
  <c r="O77" i="3"/>
  <c r="L78" i="3"/>
  <c r="M78" i="3"/>
  <c r="N78" i="3"/>
  <c r="O78" i="3"/>
  <c r="L79" i="3"/>
  <c r="M79" i="3"/>
  <c r="N79" i="3"/>
  <c r="O79" i="3"/>
  <c r="L80" i="3"/>
  <c r="M80" i="3"/>
  <c r="N80" i="3"/>
  <c r="O80" i="3"/>
  <c r="L81" i="3"/>
  <c r="M81" i="3"/>
  <c r="N81" i="3"/>
  <c r="O81" i="3"/>
  <c r="L82" i="3"/>
  <c r="M82" i="3"/>
  <c r="N82" i="3"/>
  <c r="O82" i="3"/>
  <c r="L83" i="3"/>
  <c r="M83" i="3"/>
  <c r="N83" i="3"/>
  <c r="O83" i="3"/>
  <c r="L84" i="3"/>
  <c r="M84" i="3"/>
  <c r="N84" i="3"/>
  <c r="O84" i="3"/>
  <c r="L85" i="3"/>
  <c r="M85" i="3"/>
  <c r="N85" i="3"/>
  <c r="O85" i="3"/>
  <c r="L86" i="3"/>
  <c r="M86" i="3"/>
  <c r="N86" i="3"/>
  <c r="O86" i="3"/>
  <c r="L87" i="3"/>
  <c r="M87" i="3"/>
  <c r="N87" i="3"/>
  <c r="O87" i="3"/>
  <c r="L88" i="3"/>
  <c r="M88" i="3"/>
  <c r="N88" i="3"/>
  <c r="O88" i="3"/>
  <c r="L89" i="3"/>
  <c r="M89" i="3"/>
  <c r="N89" i="3"/>
  <c r="O89" i="3"/>
  <c r="L90" i="3"/>
  <c r="M90" i="3"/>
  <c r="N90" i="3"/>
  <c r="O90" i="3"/>
  <c r="L91" i="3"/>
  <c r="M91" i="3"/>
  <c r="N91" i="3"/>
  <c r="O91" i="3"/>
  <c r="L92" i="3"/>
  <c r="M92" i="3"/>
  <c r="N92" i="3"/>
  <c r="O92" i="3"/>
  <c r="L93" i="3"/>
  <c r="M93" i="3"/>
  <c r="N93" i="3"/>
  <c r="O93" i="3"/>
  <c r="L94" i="3"/>
  <c r="M94" i="3"/>
  <c r="N94" i="3"/>
  <c r="O94" i="3"/>
  <c r="L95" i="3"/>
  <c r="M95" i="3"/>
  <c r="N95" i="3"/>
  <c r="O95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2" i="3"/>
  <c r="L3" i="3"/>
  <c r="N3" i="3"/>
  <c r="O3" i="3"/>
  <c r="L4" i="3"/>
  <c r="N4" i="3"/>
  <c r="O4" i="3"/>
  <c r="L5" i="3"/>
  <c r="N5" i="3"/>
  <c r="O5" i="3"/>
  <c r="L6" i="3"/>
  <c r="N6" i="3"/>
  <c r="O6" i="3"/>
  <c r="L7" i="3"/>
  <c r="N7" i="3"/>
  <c r="O7" i="3"/>
  <c r="L8" i="3"/>
  <c r="N8" i="3"/>
  <c r="O8" i="3"/>
  <c r="L9" i="3"/>
  <c r="N9" i="3"/>
  <c r="O9" i="3"/>
  <c r="L10" i="3"/>
  <c r="N10" i="3"/>
  <c r="O10" i="3"/>
  <c r="L11" i="3"/>
  <c r="N11" i="3"/>
  <c r="O11" i="3"/>
  <c r="L12" i="3"/>
  <c r="N12" i="3"/>
  <c r="O12" i="3"/>
  <c r="L13" i="3"/>
  <c r="N13" i="3"/>
  <c r="O13" i="3"/>
  <c r="L14" i="3"/>
  <c r="N14" i="3"/>
  <c r="O14" i="3"/>
  <c r="L15" i="3"/>
  <c r="N15" i="3"/>
  <c r="O15" i="3"/>
  <c r="L16" i="3"/>
  <c r="N16" i="3"/>
  <c r="O16" i="3"/>
  <c r="L17" i="3"/>
  <c r="N17" i="3"/>
  <c r="O17" i="3"/>
  <c r="L18" i="3"/>
  <c r="N18" i="3"/>
  <c r="O18" i="3"/>
  <c r="L19" i="3"/>
  <c r="N19" i="3"/>
  <c r="O19" i="3"/>
  <c r="L20" i="3"/>
  <c r="N20" i="3"/>
  <c r="O20" i="3"/>
  <c r="L21" i="3"/>
  <c r="N21" i="3"/>
  <c r="O21" i="3"/>
  <c r="L22" i="3"/>
  <c r="N22" i="3"/>
  <c r="O22" i="3"/>
  <c r="L23" i="3"/>
  <c r="N23" i="3"/>
  <c r="O23" i="3"/>
  <c r="L24" i="3"/>
  <c r="N24" i="3"/>
  <c r="O24" i="3"/>
  <c r="L25" i="3"/>
  <c r="N25" i="3"/>
  <c r="O25" i="3"/>
  <c r="L26" i="3"/>
  <c r="N26" i="3"/>
  <c r="O26" i="3"/>
  <c r="L27" i="3"/>
  <c r="N27" i="3"/>
  <c r="O27" i="3"/>
  <c r="L28" i="3"/>
  <c r="N28" i="3"/>
  <c r="O28" i="3"/>
  <c r="L29" i="3"/>
  <c r="N29" i="3"/>
  <c r="O29" i="3"/>
  <c r="L30" i="3"/>
  <c r="N30" i="3"/>
  <c r="O30" i="3"/>
  <c r="L31" i="3"/>
  <c r="N31" i="3"/>
  <c r="O31" i="3"/>
  <c r="L32" i="3"/>
  <c r="N32" i="3"/>
  <c r="O32" i="3"/>
  <c r="L33" i="3"/>
  <c r="N33" i="3"/>
  <c r="O33" i="3"/>
  <c r="O2" i="3"/>
  <c r="N2" i="3"/>
  <c r="L2" i="3"/>
  <c r="O101" i="2" l="1"/>
  <c r="P101" i="2"/>
  <c r="Q101" i="2"/>
  <c r="R101" i="2"/>
  <c r="O102" i="2"/>
  <c r="P102" i="2"/>
  <c r="Q102" i="2"/>
  <c r="R102" i="2"/>
  <c r="O103" i="2"/>
  <c r="P103" i="2"/>
  <c r="Q103" i="2"/>
  <c r="R103" i="2"/>
  <c r="O104" i="2"/>
  <c r="P104" i="2"/>
  <c r="Q104" i="2"/>
  <c r="R104" i="2"/>
  <c r="O105" i="2"/>
  <c r="P105" i="2"/>
  <c r="Q105" i="2"/>
  <c r="R105" i="2"/>
  <c r="O106" i="2"/>
  <c r="P106" i="2"/>
  <c r="Q106" i="2"/>
  <c r="R106" i="2"/>
  <c r="O107" i="2"/>
  <c r="P107" i="2"/>
  <c r="Q107" i="2"/>
  <c r="R107" i="2"/>
  <c r="O108" i="2"/>
  <c r="P108" i="2"/>
  <c r="Q108" i="2"/>
  <c r="R108" i="2"/>
  <c r="O109" i="2"/>
  <c r="P109" i="2"/>
  <c r="Q109" i="2"/>
  <c r="R109" i="2"/>
  <c r="O110" i="2"/>
  <c r="P110" i="2"/>
  <c r="Q110" i="2"/>
  <c r="R110" i="2"/>
  <c r="O111" i="2"/>
  <c r="P111" i="2"/>
  <c r="R111" i="2"/>
  <c r="O112" i="2"/>
  <c r="P112" i="2"/>
  <c r="Q112" i="2"/>
  <c r="R112" i="2"/>
  <c r="O113" i="2"/>
  <c r="P113" i="2"/>
  <c r="Q113" i="2"/>
  <c r="R113" i="2"/>
  <c r="O114" i="2"/>
  <c r="P114" i="2"/>
  <c r="Q114" i="2"/>
  <c r="R114" i="2"/>
  <c r="O115" i="2"/>
  <c r="P115" i="2"/>
  <c r="Q115" i="2"/>
  <c r="R115" i="2"/>
  <c r="O41" i="2"/>
  <c r="P41" i="2"/>
  <c r="Q41" i="2"/>
  <c r="R41" i="2"/>
  <c r="O42" i="2"/>
  <c r="P42" i="2"/>
  <c r="Q42" i="2"/>
  <c r="R42" i="2"/>
  <c r="O43" i="2"/>
  <c r="P43" i="2"/>
  <c r="Q43" i="2"/>
  <c r="R43" i="2"/>
  <c r="O44" i="2"/>
  <c r="P44" i="2"/>
  <c r="Q44" i="2"/>
  <c r="R44" i="2"/>
  <c r="O45" i="2"/>
  <c r="P45" i="2"/>
  <c r="Q45" i="2"/>
  <c r="R45" i="2"/>
  <c r="O46" i="2"/>
  <c r="P46" i="2"/>
  <c r="Q46" i="2"/>
  <c r="R46" i="2"/>
  <c r="O47" i="2"/>
  <c r="P47" i="2"/>
  <c r="Q47" i="2"/>
  <c r="R47" i="2"/>
  <c r="O48" i="2"/>
  <c r="P48" i="2"/>
  <c r="Q48" i="2"/>
  <c r="R48" i="2"/>
  <c r="O49" i="2"/>
  <c r="P49" i="2"/>
  <c r="Q49" i="2"/>
  <c r="R49" i="2"/>
  <c r="O50" i="2"/>
  <c r="P50" i="2"/>
  <c r="Q50" i="2"/>
  <c r="R50" i="2"/>
  <c r="O51" i="2"/>
  <c r="P51" i="2"/>
  <c r="Q51" i="2"/>
  <c r="R51" i="2"/>
  <c r="O52" i="2"/>
  <c r="P52" i="2"/>
  <c r="Q52" i="2"/>
  <c r="R52" i="2"/>
  <c r="O53" i="2"/>
  <c r="P53" i="2"/>
  <c r="Q53" i="2"/>
  <c r="R53" i="2"/>
  <c r="O54" i="2"/>
  <c r="P54" i="2"/>
  <c r="Q54" i="2"/>
  <c r="R54" i="2"/>
  <c r="O55" i="2"/>
  <c r="P55" i="2"/>
  <c r="Q55" i="2"/>
  <c r="R55" i="2"/>
  <c r="O56" i="2"/>
  <c r="P56" i="2"/>
  <c r="Q56" i="2"/>
  <c r="R56" i="2"/>
  <c r="O57" i="2"/>
  <c r="P57" i="2"/>
  <c r="Q57" i="2"/>
  <c r="R57" i="2"/>
  <c r="O58" i="2"/>
  <c r="P58" i="2"/>
  <c r="Q58" i="2"/>
  <c r="R58" i="2"/>
  <c r="O59" i="2"/>
  <c r="P59" i="2"/>
  <c r="Q59" i="2"/>
  <c r="R59" i="2"/>
  <c r="O60" i="2"/>
  <c r="P60" i="2"/>
  <c r="Q60" i="2"/>
  <c r="R60" i="2"/>
  <c r="O61" i="2"/>
  <c r="P61" i="2"/>
  <c r="Q61" i="2"/>
  <c r="R61" i="2"/>
  <c r="O62" i="2"/>
  <c r="P62" i="2"/>
  <c r="Q62" i="2"/>
  <c r="R62" i="2"/>
  <c r="O63" i="2"/>
  <c r="P63" i="2"/>
  <c r="Q63" i="2"/>
  <c r="R63" i="2"/>
  <c r="O64" i="2"/>
  <c r="P64" i="2"/>
  <c r="Q64" i="2"/>
  <c r="R64" i="2"/>
  <c r="O65" i="2"/>
  <c r="P65" i="2"/>
  <c r="Q65" i="2"/>
  <c r="R65" i="2"/>
  <c r="O66" i="2"/>
  <c r="P66" i="2"/>
  <c r="Q66" i="2"/>
  <c r="R66" i="2"/>
  <c r="O67" i="2"/>
  <c r="P67" i="2"/>
  <c r="Q67" i="2"/>
  <c r="R67" i="2"/>
  <c r="O68" i="2"/>
  <c r="P68" i="2"/>
  <c r="Q68" i="2"/>
  <c r="R68" i="2"/>
  <c r="O69" i="2"/>
  <c r="P69" i="2"/>
  <c r="Q69" i="2"/>
  <c r="R69" i="2"/>
  <c r="O70" i="2"/>
  <c r="P70" i="2"/>
  <c r="Q70" i="2"/>
  <c r="R70" i="2"/>
  <c r="O71" i="2"/>
  <c r="P71" i="2"/>
  <c r="Q71" i="2"/>
  <c r="R71" i="2"/>
  <c r="O72" i="2"/>
  <c r="P72" i="2"/>
  <c r="Q72" i="2"/>
  <c r="R72" i="2"/>
  <c r="O73" i="2"/>
  <c r="P73" i="2"/>
  <c r="Q73" i="2"/>
  <c r="R73" i="2"/>
  <c r="O74" i="2"/>
  <c r="P74" i="2"/>
  <c r="Q74" i="2"/>
  <c r="R74" i="2"/>
  <c r="O75" i="2"/>
  <c r="P75" i="2"/>
  <c r="Q75" i="2"/>
  <c r="R75" i="2"/>
  <c r="O76" i="2"/>
  <c r="P76" i="2"/>
  <c r="Q76" i="2"/>
  <c r="R76" i="2"/>
  <c r="O77" i="2"/>
  <c r="P77" i="2"/>
  <c r="Q77" i="2"/>
  <c r="R77" i="2"/>
  <c r="O78" i="2"/>
  <c r="P78" i="2"/>
  <c r="Q78" i="2"/>
  <c r="R78" i="2"/>
  <c r="O79" i="2"/>
  <c r="P79" i="2"/>
  <c r="Q79" i="2"/>
  <c r="R79" i="2"/>
  <c r="O80" i="2"/>
  <c r="P80" i="2"/>
  <c r="Q80" i="2"/>
  <c r="R80" i="2"/>
  <c r="O81" i="2"/>
  <c r="P81" i="2"/>
  <c r="Q81" i="2"/>
  <c r="R81" i="2"/>
  <c r="O82" i="2"/>
  <c r="P82" i="2"/>
  <c r="Q82" i="2"/>
  <c r="R82" i="2"/>
  <c r="O83" i="2"/>
  <c r="P83" i="2"/>
  <c r="Q83" i="2"/>
  <c r="R83" i="2"/>
  <c r="O84" i="2"/>
  <c r="P84" i="2"/>
  <c r="Q84" i="2"/>
  <c r="R84" i="2"/>
  <c r="O85" i="2"/>
  <c r="P85" i="2"/>
  <c r="Q85" i="2"/>
  <c r="R85" i="2"/>
  <c r="O86" i="2"/>
  <c r="P86" i="2"/>
  <c r="Q86" i="2"/>
  <c r="R86" i="2"/>
  <c r="O87" i="2"/>
  <c r="P87" i="2"/>
  <c r="Q87" i="2"/>
  <c r="R87" i="2"/>
  <c r="O88" i="2"/>
  <c r="P88" i="2"/>
  <c r="Q88" i="2"/>
  <c r="R88" i="2"/>
  <c r="O89" i="2"/>
  <c r="P89" i="2"/>
  <c r="Q89" i="2"/>
  <c r="R89" i="2"/>
  <c r="O90" i="2"/>
  <c r="P90" i="2"/>
  <c r="Q90" i="2"/>
  <c r="R90" i="2"/>
  <c r="O91" i="2"/>
  <c r="P91" i="2"/>
  <c r="Q91" i="2"/>
  <c r="R91" i="2"/>
  <c r="O92" i="2"/>
  <c r="P92" i="2"/>
  <c r="Q92" i="2"/>
  <c r="R92" i="2"/>
  <c r="O93" i="2"/>
  <c r="P93" i="2"/>
  <c r="Q93" i="2"/>
  <c r="R93" i="2"/>
  <c r="O94" i="2"/>
  <c r="P94" i="2"/>
  <c r="Q94" i="2"/>
  <c r="R94" i="2"/>
  <c r="O95" i="2"/>
  <c r="P95" i="2"/>
  <c r="Q95" i="2"/>
  <c r="R95" i="2"/>
  <c r="O96" i="2"/>
  <c r="P96" i="2"/>
  <c r="Q96" i="2"/>
  <c r="R96" i="2"/>
  <c r="O97" i="2"/>
  <c r="P97" i="2"/>
  <c r="Q97" i="2"/>
  <c r="R97" i="2"/>
  <c r="O98" i="2"/>
  <c r="P98" i="2"/>
  <c r="Q98" i="2"/>
  <c r="R98" i="2"/>
  <c r="O99" i="2"/>
  <c r="P99" i="2"/>
  <c r="Q99" i="2"/>
  <c r="R99" i="2"/>
  <c r="O100" i="2"/>
  <c r="P100" i="2"/>
  <c r="Q100" i="2"/>
  <c r="R10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2" i="2"/>
  <c r="O3" i="2"/>
  <c r="P3" i="2"/>
  <c r="Q3" i="2"/>
  <c r="O4" i="2"/>
  <c r="P4" i="2"/>
  <c r="Q4" i="2"/>
  <c r="O5" i="2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O13" i="2"/>
  <c r="P13" i="2"/>
  <c r="Q13" i="2"/>
  <c r="O14" i="2"/>
  <c r="P14" i="2"/>
  <c r="Q14" i="2"/>
  <c r="O15" i="2"/>
  <c r="P15" i="2"/>
  <c r="Q15" i="2"/>
  <c r="O16" i="2"/>
  <c r="P16" i="2"/>
  <c r="Q16" i="2"/>
  <c r="O17" i="2"/>
  <c r="P17" i="2"/>
  <c r="Q17" i="2"/>
  <c r="O18" i="2"/>
  <c r="P18" i="2"/>
  <c r="Q18" i="2"/>
  <c r="O19" i="2"/>
  <c r="P19" i="2"/>
  <c r="Q19" i="2"/>
  <c r="O20" i="2"/>
  <c r="P20" i="2"/>
  <c r="Q20" i="2"/>
  <c r="O21" i="2"/>
  <c r="P21" i="2"/>
  <c r="Q21" i="2"/>
  <c r="O22" i="2"/>
  <c r="P22" i="2"/>
  <c r="Q22" i="2"/>
  <c r="O23" i="2"/>
  <c r="P23" i="2"/>
  <c r="Q23" i="2"/>
  <c r="O24" i="2"/>
  <c r="P24" i="2"/>
  <c r="Q24" i="2"/>
  <c r="O25" i="2"/>
  <c r="P25" i="2"/>
  <c r="Q25" i="2"/>
  <c r="O26" i="2"/>
  <c r="P26" i="2"/>
  <c r="Q26" i="2"/>
  <c r="O27" i="2"/>
  <c r="P27" i="2"/>
  <c r="Q27" i="2"/>
  <c r="O28" i="2"/>
  <c r="P28" i="2"/>
  <c r="Q28" i="2"/>
  <c r="O29" i="2"/>
  <c r="P29" i="2"/>
  <c r="Q29" i="2"/>
  <c r="O30" i="2"/>
  <c r="P30" i="2"/>
  <c r="Q30" i="2"/>
  <c r="O31" i="2"/>
  <c r="P31" i="2"/>
  <c r="Q31" i="2"/>
  <c r="O32" i="2"/>
  <c r="P32" i="2"/>
  <c r="Q32" i="2"/>
  <c r="O33" i="2"/>
  <c r="P33" i="2"/>
  <c r="Q33" i="2"/>
  <c r="O34" i="2"/>
  <c r="P34" i="2"/>
  <c r="Q34" i="2"/>
  <c r="O35" i="2"/>
  <c r="P35" i="2"/>
  <c r="Q35" i="2"/>
  <c r="O36" i="2"/>
  <c r="P36" i="2"/>
  <c r="Q36" i="2"/>
  <c r="O37" i="2"/>
  <c r="P37" i="2"/>
  <c r="Q37" i="2"/>
  <c r="O38" i="2"/>
  <c r="P38" i="2"/>
  <c r="Q38" i="2"/>
  <c r="O39" i="2"/>
  <c r="P39" i="2"/>
  <c r="Q39" i="2"/>
  <c r="O40" i="2"/>
  <c r="P40" i="2"/>
  <c r="Q40" i="2"/>
  <c r="Q2" i="2"/>
  <c r="P2" i="2"/>
  <c r="O2" i="2"/>
  <c r="AC8" i="1" l="1"/>
  <c r="H23" i="1"/>
  <c r="G23" i="1"/>
  <c r="F23" i="1"/>
  <c r="N4" i="1" s="1"/>
  <c r="H22" i="1"/>
  <c r="G22" i="1"/>
  <c r="F22" i="1"/>
  <c r="W20" i="1"/>
  <c r="W21" i="1" s="1"/>
  <c r="V20" i="1"/>
  <c r="V22" i="1" s="1"/>
  <c r="U20" i="1"/>
  <c r="U21" i="1" s="1"/>
  <c r="AC10" i="1"/>
  <c r="AC9" i="1"/>
  <c r="Z5" i="1"/>
  <c r="M4" i="1"/>
  <c r="L4" i="1"/>
  <c r="K4" i="1"/>
  <c r="U3" i="1"/>
  <c r="Z4" i="1" s="1"/>
  <c r="Z7" i="1" l="1"/>
  <c r="W22" i="1"/>
  <c r="AA4" i="1"/>
  <c r="U22" i="1"/>
  <c r="V21" i="1"/>
  <c r="AA5" i="1"/>
  <c r="AA6" i="1"/>
  <c r="W23" i="1"/>
  <c r="AC6" i="1" s="1"/>
  <c r="AB6" i="1"/>
  <c r="U23" i="1"/>
  <c r="AB4" i="1"/>
  <c r="AC11" i="1" l="1"/>
  <c r="V23" i="1"/>
  <c r="AC5" i="1" s="1"/>
  <c r="AB5" i="1"/>
  <c r="AC4" i="1"/>
  <c r="AC7" i="1" l="1"/>
  <c r="AC12" i="1" s="1"/>
  <c r="AC13" i="1" s="1"/>
</calcChain>
</file>

<file path=xl/sharedStrings.xml><?xml version="1.0" encoding="utf-8"?>
<sst xmlns="http://schemas.openxmlformats.org/spreadsheetml/2006/main" count="1170" uniqueCount="142">
  <si>
    <t>PMBP001029427Z01</t>
  </si>
  <si>
    <t>New Business</t>
  </si>
  <si>
    <t>Inception Date</t>
  </si>
  <si>
    <t>Renewal Image</t>
  </si>
  <si>
    <t>With IRPM  0.25</t>
  </si>
  <si>
    <t> </t>
  </si>
  <si>
    <t>Expiry Date</t>
  </si>
  <si>
    <t>Limits</t>
  </si>
  <si>
    <t>Coverage Code</t>
  </si>
  <si>
    <t>Sum Insured</t>
  </si>
  <si>
    <t>Base Rate</t>
  </si>
  <si>
    <t>Final Rate</t>
  </si>
  <si>
    <t>Premium</t>
  </si>
  <si>
    <t>Effective Date</t>
  </si>
  <si>
    <t>Property Section</t>
  </si>
  <si>
    <t>Building</t>
  </si>
  <si>
    <t>Business Personal Property</t>
  </si>
  <si>
    <t>Liability</t>
  </si>
  <si>
    <t>Base Loss Costs</t>
  </si>
  <si>
    <t>Number Of Employees</t>
  </si>
  <si>
    <t>Prop Rate Group Number RF</t>
  </si>
  <si>
    <t>Type of Entity</t>
  </si>
  <si>
    <t>Corporation</t>
  </si>
  <si>
    <t>Construction Class RF</t>
  </si>
  <si>
    <t>Medical Expenses Limit-Per Person</t>
  </si>
  <si>
    <t>Equipment Breakdown Protection Coverage</t>
  </si>
  <si>
    <t>First Named Insured</t>
  </si>
  <si>
    <t>HEYDLAUFF'S  INC</t>
  </si>
  <si>
    <t>Limit of Insurance(LOI) RF</t>
  </si>
  <si>
    <t>Fire PPC Factor RF</t>
  </si>
  <si>
    <t>Electronic Data Liability</t>
  </si>
  <si>
    <t>Owner's First Name</t>
  </si>
  <si>
    <t xml:space="preserve">Mark </t>
  </si>
  <si>
    <t>BCEG Factor RF</t>
  </si>
  <si>
    <t>TRIA Certified Acts of Terrorism Coverage-Property</t>
  </si>
  <si>
    <t>Employee Benefits Liability Coverage-Per Occurrence Limit</t>
  </si>
  <si>
    <t>Owner's Last Name</t>
  </si>
  <si>
    <t>Heydlauff</t>
  </si>
  <si>
    <t>Sprinkler RF</t>
  </si>
  <si>
    <t>TRIA Certified Acts of Terrorism Coverage-Liability</t>
  </si>
  <si>
    <t>weSure Premium Endorsement Bundle</t>
  </si>
  <si>
    <t>Deductible RF</t>
  </si>
  <si>
    <t xml:space="preserve">Total </t>
  </si>
  <si>
    <t>Mailing Address</t>
  </si>
  <si>
    <t>113 North Main Street,Chelsea,Michigan,48118</t>
  </si>
  <si>
    <t>LCM factor( Tier Based)</t>
  </si>
  <si>
    <t>var</t>
  </si>
  <si>
    <t>IRPM Factor</t>
  </si>
  <si>
    <t>Total</t>
  </si>
  <si>
    <t>Risk Address</t>
  </si>
  <si>
    <t>Business Income And Extra Expense – Revised Period Of Indemnity (in months)</t>
  </si>
  <si>
    <t>Business Not Listed</t>
  </si>
  <si>
    <t>No</t>
  </si>
  <si>
    <t>Liability  Section</t>
  </si>
  <si>
    <t>Kind of Business Type</t>
  </si>
  <si>
    <t>Retail (Bakeries, Clothing, Department stores, etc.)</t>
  </si>
  <si>
    <t>Liability Class Group Factor</t>
  </si>
  <si>
    <t>Lessors Risk</t>
  </si>
  <si>
    <t>Business Type</t>
  </si>
  <si>
    <t>Retail Store: Not Otherwise Classified</t>
  </si>
  <si>
    <t>Liability Increased Limits RF</t>
  </si>
  <si>
    <t>Cafes: Limited cooking</t>
  </si>
  <si>
    <t>Years of experience in this business category</t>
  </si>
  <si>
    <t>Property Damage Deductible Factor</t>
  </si>
  <si>
    <t>Interest Plan</t>
  </si>
  <si>
    <t>DIY Plan</t>
  </si>
  <si>
    <t>Property/Liability  Base Rate</t>
  </si>
  <si>
    <t>Premium Plan</t>
  </si>
  <si>
    <t>Final Property/Liability  Rate</t>
  </si>
  <si>
    <t>Estimated Annual Turnover</t>
  </si>
  <si>
    <t>Base Premium</t>
  </si>
  <si>
    <t>Deductible Fixed Dollar</t>
  </si>
  <si>
    <t>Final  Premium Bldng/BPP/Liab</t>
  </si>
  <si>
    <t>Deductible Windstorm Hail %</t>
  </si>
  <si>
    <t>Blank</t>
  </si>
  <si>
    <t>WindstormDedDisplay</t>
  </si>
  <si>
    <t>Y</t>
  </si>
  <si>
    <t>WindstormDedPossibleValues</t>
  </si>
  <si>
    <t>1_2_5</t>
  </si>
  <si>
    <t>Type of space</t>
  </si>
  <si>
    <t>Owned Commercial Building</t>
  </si>
  <si>
    <t>LRO Details</t>
  </si>
  <si>
    <t>moreThanOneOccupant</t>
  </si>
  <si>
    <t>Building ownership percentage</t>
  </si>
  <si>
    <t>DisplayRestaurantQuestionary</t>
  </si>
  <si>
    <t>Is there a restaurant in the building?</t>
  </si>
  <si>
    <t>Building Details</t>
  </si>
  <si>
    <t>Type of Structure</t>
  </si>
  <si>
    <t>Masonry Non- combustible</t>
  </si>
  <si>
    <t>Type of Roof</t>
  </si>
  <si>
    <t>Built-up(with gravel)</t>
  </si>
  <si>
    <t>Roof Upgraded</t>
  </si>
  <si>
    <t>Yes</t>
  </si>
  <si>
    <t>Number of Floors in the Building</t>
  </si>
  <si>
    <t>Year built</t>
  </si>
  <si>
    <t>Automatic Fire Alarm Installed?</t>
  </si>
  <si>
    <t>Automatic Sprinkler Installed?</t>
  </si>
  <si>
    <t>Security Service</t>
  </si>
  <si>
    <t>Building UW Tier</t>
  </si>
  <si>
    <t>T4</t>
  </si>
  <si>
    <t>Building BCEG</t>
  </si>
  <si>
    <t>Building Square Footage</t>
  </si>
  <si>
    <t>Vacancy Percent of Area Vacant</t>
  </si>
  <si>
    <t>Habitational Percent of Area</t>
  </si>
  <si>
    <t>Crime Factor</t>
  </si>
  <si>
    <t>Liens Count</t>
  </si>
  <si>
    <t>Bankruptcy Count</t>
  </si>
  <si>
    <t>Territory</t>
  </si>
  <si>
    <t xml:space="preserve">Property Rate </t>
  </si>
  <si>
    <t>POL_NO</t>
  </si>
  <si>
    <t>ENDT_NO</t>
  </si>
  <si>
    <t>ITEM_NO</t>
  </si>
  <si>
    <t>BUILDINGID</t>
  </si>
  <si>
    <t>COVER_CD</t>
  </si>
  <si>
    <t>OLD_CUMMULATIVE_SI</t>
  </si>
  <si>
    <t>OLD_CUMMULATIVE_PREM</t>
  </si>
  <si>
    <t>COVER_ENDT_BUNDLE_SI</t>
  </si>
  <si>
    <t>PREV_POL_CUMMULATIVE_SI</t>
  </si>
  <si>
    <t>INCREMENTAL_SI</t>
  </si>
  <si>
    <t>INCREMENTAL_PREM</t>
  </si>
  <si>
    <t>USER_RATE</t>
  </si>
  <si>
    <t>SYSTEM_RATE</t>
  </si>
  <si>
    <t>RECALC_FLAG</t>
  </si>
  <si>
    <t>N</t>
  </si>
  <si>
    <t>CVG</t>
  </si>
  <si>
    <t>SI</t>
  </si>
  <si>
    <t>RC</t>
  </si>
  <si>
    <t>PMBP001029427Z02</t>
  </si>
  <si>
    <t>Prem</t>
  </si>
  <si>
    <t>IUWP3_POL_NO</t>
  </si>
  <si>
    <t>IUWP3_POL_ENDT_NO</t>
  </si>
  <si>
    <t>IUWP3_ITEM_NO</t>
  </si>
  <si>
    <t>IUWP3_COVG_CD</t>
  </si>
  <si>
    <t>IUWP3_OLD_CUM_SI</t>
  </si>
  <si>
    <t>IUWP3_OLD_CUM_PREM</t>
  </si>
  <si>
    <t>IUWP3_COVG_ENDT_BUNDLE_SI</t>
  </si>
  <si>
    <t>IUWP3_INCR_SI</t>
  </si>
  <si>
    <t>IUWP3_INCR_PREM</t>
  </si>
  <si>
    <t>IUWP3_RECALC_FLG</t>
  </si>
  <si>
    <t>IUWP3_PREV_POL_CUMM_SI</t>
  </si>
  <si>
    <t xml:space="preserve">CVG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</si>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</sst>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[$-10409]#,##0;\(#,##0\)"/>
    <numFmt numFmtId="166" formatCode="[$-10409]&quot;$&quot;#,##0.00;\(&quot;$&quot;#,##0.00\);&quot;-&quot;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10"/>
      <color rgb="FFC51162"/>
      <name val="FSMe"/>
      <charset val="1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8" borderId="0" applyNumberFormat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2" xfId="0" applyBorder="1"/>
    <xf numFmtId="15" fontId="4" fillId="0" borderId="2" xfId="0" applyNumberFormat="1" applyFont="1" applyBorder="1" applyAlignment="1">
      <alignment horizontal="left"/>
    </xf>
    <xf numFmtId="0" fontId="1" fillId="2" borderId="0" xfId="0" applyFont="1" applyFill="1"/>
    <xf numFmtId="15" fontId="0" fillId="0" borderId="2" xfId="0" applyNumberFormat="1" applyBorder="1" applyAlignment="1">
      <alignment horizontal="left"/>
    </xf>
    <xf numFmtId="0" fontId="5" fillId="3" borderId="2" xfId="0" applyFont="1" applyFill="1" applyBorder="1"/>
    <xf numFmtId="0" fontId="5" fillId="3" borderId="3" xfId="0" applyFont="1" applyFill="1" applyBorder="1"/>
    <xf numFmtId="0" fontId="1" fillId="0" borderId="2" xfId="0" applyFont="1" applyBorder="1"/>
    <xf numFmtId="165" fontId="6" fillId="0" borderId="1" xfId="0" applyNumberFormat="1" applyFont="1" applyBorder="1" applyAlignment="1">
      <alignment horizontal="center" vertical="center" wrapText="1" readingOrder="1"/>
    </xf>
    <xf numFmtId="4" fontId="0" fillId="0" borderId="2" xfId="0" quotePrefix="1" applyNumberForma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2" xfId="0" applyBorder="1" applyAlignment="1">
      <alignment horizontal="left"/>
    </xf>
    <xf numFmtId="0" fontId="4" fillId="0" borderId="2" xfId="0" applyFont="1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8" fillId="0" borderId="2" xfId="0" applyFont="1" applyBorder="1" applyAlignment="1">
      <alignment vertical="top"/>
    </xf>
    <xf numFmtId="10" fontId="0" fillId="0" borderId="0" xfId="0" applyNumberFormat="1"/>
    <xf numFmtId="0" fontId="0" fillId="0" borderId="2" xfId="0" applyBorder="1" applyAlignment="1">
      <alignment wrapText="1"/>
    </xf>
    <xf numFmtId="0" fontId="0" fillId="4" borderId="2" xfId="0" applyFill="1" applyBorder="1"/>
    <xf numFmtId="0" fontId="9" fillId="4" borderId="0" xfId="0" applyFont="1" applyFill="1"/>
    <xf numFmtId="0" fontId="0" fillId="5" borderId="2" xfId="0" applyFill="1" applyBorder="1"/>
    <xf numFmtId="0" fontId="0" fillId="5" borderId="2" xfId="0" applyFill="1" applyBorder="1" applyAlignment="1">
      <alignment vertical="top"/>
    </xf>
    <xf numFmtId="2" fontId="0" fillId="5" borderId="2" xfId="0" applyNumberFormat="1" applyFill="1" applyBorder="1" applyAlignment="1">
      <alignment vertical="top"/>
    </xf>
    <xf numFmtId="0" fontId="1" fillId="6" borderId="2" xfId="0" applyFont="1" applyFill="1" applyBorder="1"/>
    <xf numFmtId="0" fontId="0" fillId="6" borderId="2" xfId="0" applyFill="1" applyBorder="1" applyAlignment="1">
      <alignment vertical="top"/>
    </xf>
    <xf numFmtId="164" fontId="4" fillId="0" borderId="2" xfId="0" applyNumberFormat="1" applyFont="1" applyBorder="1" applyAlignment="1">
      <alignment horizontal="left"/>
    </xf>
    <xf numFmtId="0" fontId="1" fillId="7" borderId="2" xfId="0" applyFont="1" applyFill="1" applyBorder="1"/>
    <xf numFmtId="0" fontId="0" fillId="7" borderId="2" xfId="0" applyFill="1" applyBorder="1" applyAlignment="1">
      <alignment vertical="top"/>
    </xf>
    <xf numFmtId="9" fontId="4" fillId="0" borderId="2" xfId="0" applyNumberFormat="1" applyFont="1" applyBorder="1" applyAlignment="1">
      <alignment horizontal="left"/>
    </xf>
    <xf numFmtId="14" fontId="0" fillId="0" borderId="0" xfId="0" applyNumberFormat="1"/>
    <xf numFmtId="0" fontId="0" fillId="0" borderId="3" xfId="0" applyBorder="1"/>
    <xf numFmtId="166" fontId="2" fillId="0" borderId="1" xfId="0" applyNumberFormat="1" applyFont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vertical="top"/>
    </xf>
    <xf numFmtId="0" fontId="7" fillId="4" borderId="2" xfId="0" applyFont="1" applyFill="1" applyBorder="1"/>
    <xf numFmtId="0" fontId="10" fillId="0" borderId="0" xfId="1" applyFill="1"/>
  </cellXfs>
  <cellStyles count="2"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"/>
  <sheetViews>
    <sheetView tabSelected="1" topLeftCell="P1" workbookViewId="0">
      <selection activeCell="S4" sqref="S4"/>
    </sheetView>
  </sheetViews>
  <sheetFormatPr defaultRowHeight="15"/>
  <cols>
    <col min="1" max="1" width="16.42578125" hidden="1" customWidth="1"/>
    <col min="2" max="2" width="38.85546875" hidden="1" customWidth="1"/>
    <col min="3" max="3" width="45" hidden="1" customWidth="1"/>
    <col min="4" max="4" width="0" hidden="1" customWidth="1"/>
    <col min="5" max="5" width="31.28515625" hidden="1" customWidth="1"/>
    <col min="6" max="6" width="8.85546875" hidden="1" customWidth="1"/>
    <col min="7" max="7" width="0" hidden="1" customWidth="1"/>
    <col min="8" max="8" width="7.85546875" hidden="1" customWidth="1"/>
    <col min="9" max="9" width="0" hidden="1" customWidth="1"/>
    <col min="10" max="10" width="54.28515625" hidden="1" customWidth="1"/>
    <col min="11" max="11" width="12" hidden="1" customWidth="1"/>
    <col min="12" max="12" width="9.5703125" hidden="1" customWidth="1"/>
    <col min="13" max="13" width="9.7109375" hidden="1" customWidth="1"/>
    <col min="14" max="14" width="9" hidden="1" customWidth="1"/>
    <col min="15" max="15" width="0" hidden="1" customWidth="1"/>
    <col min="16" max="16" width="14.7109375" bestFit="1" customWidth="1"/>
    <col min="17" max="17" width="38.85546875" bestFit="1" customWidth="1"/>
    <col min="18" max="18" width="45" bestFit="1" customWidth="1"/>
    <col min="20" max="20" width="32" bestFit="1" customWidth="1"/>
    <col min="21" max="21" width="8.42578125" bestFit="1" customWidth="1"/>
    <col min="23" max="23" width="8.42578125" bestFit="1" customWidth="1"/>
    <col min="24" max="24" width="1.28515625" bestFit="1" customWidth="1"/>
    <col min="25" max="25" width="43.85546875" customWidth="1"/>
    <col min="26" max="26" width="12" bestFit="1" customWidth="1"/>
    <col min="27" max="27" width="9.5703125" bestFit="1" customWidth="1"/>
    <col min="28" max="28" width="9.7109375" bestFit="1" customWidth="1"/>
    <col min="29" max="29" width="10.28515625" bestFit="1" customWidth="1"/>
  </cols>
  <sheetData>
    <row r="1" spans="1:29">
      <c r="A1" s="1" t="s">
        <v>0</v>
      </c>
      <c r="B1" s="2"/>
      <c r="C1" s="3"/>
      <c r="P1" s="4"/>
      <c r="Q1" s="2"/>
      <c r="R1" s="3"/>
    </row>
    <row r="2" spans="1:29">
      <c r="A2" s="2" t="s">
        <v>1</v>
      </c>
      <c r="B2" s="5" t="s">
        <v>2</v>
      </c>
      <c r="C2" s="6"/>
      <c r="P2" s="7" t="s">
        <v>3</v>
      </c>
      <c r="Q2" s="5" t="s">
        <v>2</v>
      </c>
      <c r="R2" s="8"/>
      <c r="T2" s="9" t="s">
        <v>4</v>
      </c>
      <c r="U2" s="10" t="s">
        <v>5</v>
      </c>
      <c r="V2" s="10" t="s">
        <v>5</v>
      </c>
      <c r="W2" s="10" t="s">
        <v>5</v>
      </c>
      <c r="X2" t="s">
        <v>5</v>
      </c>
      <c r="Y2" s="10" t="s">
        <v>5</v>
      </c>
      <c r="Z2" s="10" t="s">
        <v>5</v>
      </c>
      <c r="AA2" s="10" t="s">
        <v>5</v>
      </c>
      <c r="AB2" s="10" t="s">
        <v>5</v>
      </c>
      <c r="AC2" s="10" t="s">
        <v>5</v>
      </c>
    </row>
    <row r="3" spans="1:29">
      <c r="B3" s="5" t="s">
        <v>6</v>
      </c>
      <c r="C3" s="6"/>
      <c r="E3" s="11" t="s">
        <v>7</v>
      </c>
      <c r="F3" s="12">
        <v>3888000</v>
      </c>
      <c r="G3" s="12">
        <v>10000</v>
      </c>
      <c r="H3" s="13"/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Q3" s="5" t="s">
        <v>6</v>
      </c>
      <c r="R3" s="8"/>
      <c r="T3" s="15" t="s">
        <v>7</v>
      </c>
      <c r="U3" s="16">
        <f>F3*1.08</f>
        <v>4199040</v>
      </c>
      <c r="V3" s="12">
        <v>10000</v>
      </c>
      <c r="W3" s="16">
        <v>4199040</v>
      </c>
      <c r="Y3" s="17" t="s">
        <v>8</v>
      </c>
      <c r="Z3" s="17" t="s">
        <v>9</v>
      </c>
      <c r="AA3" s="17" t="s">
        <v>10</v>
      </c>
      <c r="AB3" s="17" t="s">
        <v>11</v>
      </c>
      <c r="AC3" s="17" t="s">
        <v>12</v>
      </c>
    </row>
    <row r="4" spans="1:29" ht="45">
      <c r="B4" s="5" t="s">
        <v>13</v>
      </c>
      <c r="C4" s="6"/>
      <c r="E4" s="18" t="s">
        <v>14</v>
      </c>
      <c r="F4" s="18" t="s">
        <v>15</v>
      </c>
      <c r="G4" s="19" t="s">
        <v>16</v>
      </c>
      <c r="H4" s="18" t="s">
        <v>17</v>
      </c>
      <c r="J4" s="20" t="s">
        <v>15</v>
      </c>
      <c r="K4" s="20">
        <f>F3</f>
        <v>3888000</v>
      </c>
      <c r="L4" s="20">
        <f>F20</f>
        <v>0</v>
      </c>
      <c r="M4" s="20">
        <f>F21</f>
        <v>0</v>
      </c>
      <c r="N4" s="20">
        <f>F23</f>
        <v>0</v>
      </c>
      <c r="Q4" s="5" t="s">
        <v>13</v>
      </c>
      <c r="R4" s="8"/>
      <c r="T4" s="18" t="s">
        <v>14</v>
      </c>
      <c r="U4" s="18" t="s">
        <v>15</v>
      </c>
      <c r="V4" s="19" t="s">
        <v>16</v>
      </c>
      <c r="W4" s="18" t="s">
        <v>17</v>
      </c>
      <c r="Y4" s="47" t="s">
        <v>15</v>
      </c>
      <c r="Z4" s="20">
        <f>U3</f>
        <v>4199040</v>
      </c>
      <c r="AA4" s="20">
        <f>U20</f>
        <v>0.13700000000000001</v>
      </c>
      <c r="AB4" s="20">
        <f>U21</f>
        <v>0.19400000000000001</v>
      </c>
      <c r="AC4" s="33">
        <f>U23</f>
        <v>8147</v>
      </c>
    </row>
    <row r="5" spans="1:29">
      <c r="B5" s="5"/>
      <c r="C5" s="21"/>
      <c r="E5" s="5" t="s">
        <v>18</v>
      </c>
      <c r="F5" s="22"/>
      <c r="G5" s="20"/>
      <c r="H5" s="23"/>
      <c r="J5" s="5" t="s">
        <v>16</v>
      </c>
      <c r="K5" s="5"/>
      <c r="L5" s="5"/>
      <c r="M5" s="5"/>
      <c r="N5" s="5"/>
      <c r="Q5" s="5"/>
      <c r="R5" s="24"/>
      <c r="T5" s="5" t="s">
        <v>18</v>
      </c>
      <c r="U5" s="16">
        <v>0.112</v>
      </c>
      <c r="V5" s="16">
        <v>0.216</v>
      </c>
      <c r="W5" s="16">
        <v>1.2E-2</v>
      </c>
      <c r="Y5" s="48" t="s">
        <v>16</v>
      </c>
      <c r="Z5" s="20">
        <f>V3</f>
        <v>10000</v>
      </c>
      <c r="AA5" s="20">
        <f>V20</f>
        <v>0.89400000000000002</v>
      </c>
      <c r="AB5" s="20">
        <f>V21</f>
        <v>1.2669999999999999</v>
      </c>
      <c r="AC5" s="33">
        <f>V23</f>
        <v>127</v>
      </c>
    </row>
    <row r="6" spans="1:29">
      <c r="B6" s="5" t="s">
        <v>19</v>
      </c>
      <c r="C6" s="21">
        <v>13</v>
      </c>
      <c r="E6" s="5" t="s">
        <v>20</v>
      </c>
      <c r="F6" s="22"/>
      <c r="G6" s="5"/>
      <c r="H6" s="20"/>
      <c r="J6" s="5" t="s">
        <v>17</v>
      </c>
      <c r="K6" s="5"/>
      <c r="L6" s="5"/>
      <c r="M6" s="5"/>
      <c r="N6" s="5"/>
      <c r="Q6" s="5" t="s">
        <v>19</v>
      </c>
      <c r="R6" s="21"/>
      <c r="T6" s="5" t="s">
        <v>20</v>
      </c>
      <c r="U6" s="16">
        <v>3.302</v>
      </c>
      <c r="V6" s="16">
        <v>3.2570000000000001</v>
      </c>
      <c r="W6" s="16"/>
      <c r="Y6" s="48" t="s">
        <v>17</v>
      </c>
      <c r="Z6" s="20">
        <v>2000000</v>
      </c>
      <c r="AA6" s="20">
        <f>W20</f>
        <v>3.7999999999999999E-2</v>
      </c>
      <c r="AB6" s="20">
        <f>W21</f>
        <v>5.3999999999999999E-2</v>
      </c>
      <c r="AC6" s="33">
        <f>W23</f>
        <v>2268</v>
      </c>
    </row>
    <row r="7" spans="1:29">
      <c r="B7" s="5" t="s">
        <v>21</v>
      </c>
      <c r="C7" s="21" t="s">
        <v>22</v>
      </c>
      <c r="E7" s="5" t="s">
        <v>23</v>
      </c>
      <c r="F7" s="22"/>
      <c r="G7" s="20"/>
      <c r="H7" s="20"/>
      <c r="J7" s="5" t="s">
        <v>24</v>
      </c>
      <c r="K7" s="5"/>
      <c r="L7" s="5"/>
      <c r="M7" s="5"/>
      <c r="N7" s="5"/>
      <c r="Q7" s="5" t="s">
        <v>21</v>
      </c>
      <c r="R7" s="21"/>
      <c r="T7" s="5" t="s">
        <v>23</v>
      </c>
      <c r="U7" s="16">
        <v>0.75900000000000001</v>
      </c>
      <c r="V7" s="16">
        <v>0.82499999999999996</v>
      </c>
      <c r="W7" s="16"/>
      <c r="Y7" s="48" t="s">
        <v>25</v>
      </c>
      <c r="Z7" s="20">
        <f>Z4+Z5</f>
        <v>4209040</v>
      </c>
      <c r="AA7" s="20">
        <v>3.6499999999999998E-2</v>
      </c>
      <c r="AB7" s="20">
        <v>3.6499999999999998E-2</v>
      </c>
      <c r="AC7" s="33">
        <f>ROUNDUP(AB7*(U23+V23),0)</f>
        <v>303</v>
      </c>
    </row>
    <row r="8" spans="1:29">
      <c r="B8" s="5" t="s">
        <v>26</v>
      </c>
      <c r="C8" s="21" t="s">
        <v>27</v>
      </c>
      <c r="E8" s="5" t="s">
        <v>28</v>
      </c>
      <c r="F8" s="22"/>
      <c r="G8" s="5"/>
      <c r="H8" s="20"/>
      <c r="J8" s="5" t="s">
        <v>25</v>
      </c>
      <c r="K8" s="5"/>
      <c r="L8" s="5"/>
      <c r="M8" s="5"/>
      <c r="N8" s="5"/>
      <c r="Q8" s="5" t="s">
        <v>26</v>
      </c>
      <c r="R8" s="21"/>
      <c r="T8" s="5" t="s">
        <v>28</v>
      </c>
      <c r="U8" s="16">
        <v>0.55900000000000005</v>
      </c>
      <c r="V8" s="16">
        <v>1.7669999999999999</v>
      </c>
      <c r="W8" s="16"/>
      <c r="Y8" s="48" t="s">
        <v>24</v>
      </c>
      <c r="Z8" s="20">
        <v>4199040</v>
      </c>
      <c r="AA8" s="20"/>
      <c r="AB8" s="20">
        <v>2E-3</v>
      </c>
      <c r="AC8" s="33">
        <f>ROUNDUP(Z8/100*AB8,0)</f>
        <v>84</v>
      </c>
    </row>
    <row r="9" spans="1:29">
      <c r="B9" s="5"/>
      <c r="C9" s="21"/>
      <c r="E9" s="5" t="s">
        <v>29</v>
      </c>
      <c r="F9" s="25"/>
      <c r="G9" s="5"/>
      <c r="H9" s="20"/>
      <c r="J9" s="5" t="s">
        <v>30</v>
      </c>
      <c r="K9" s="5"/>
      <c r="L9" s="5"/>
      <c r="M9" s="5"/>
      <c r="N9" s="5"/>
      <c r="Q9" s="5"/>
      <c r="R9" s="21"/>
      <c r="T9" s="5" t="s">
        <v>29</v>
      </c>
      <c r="U9" s="16">
        <v>1</v>
      </c>
      <c r="V9" s="16">
        <v>1</v>
      </c>
      <c r="W9" s="16"/>
      <c r="Y9" s="48" t="s">
        <v>30</v>
      </c>
      <c r="Z9" s="20">
        <v>75000</v>
      </c>
      <c r="AA9" s="20"/>
      <c r="AB9" s="20">
        <v>100</v>
      </c>
      <c r="AC9" s="33">
        <f>ROUNDUP(AB9*U13*(1+U14),0)</f>
        <v>142</v>
      </c>
    </row>
    <row r="10" spans="1:29">
      <c r="B10" s="5" t="s">
        <v>31</v>
      </c>
      <c r="C10" s="21" t="s">
        <v>32</v>
      </c>
      <c r="E10" s="5" t="s">
        <v>33</v>
      </c>
      <c r="F10" s="25"/>
      <c r="G10" s="5"/>
      <c r="H10" s="20"/>
      <c r="J10" s="5" t="s">
        <v>34</v>
      </c>
      <c r="K10" s="5"/>
      <c r="L10" s="5"/>
      <c r="M10" s="5"/>
      <c r="N10" s="5"/>
      <c r="Q10" s="5" t="s">
        <v>31</v>
      </c>
      <c r="R10" s="21"/>
      <c r="T10" s="5" t="s">
        <v>33</v>
      </c>
      <c r="U10" s="16">
        <v>1</v>
      </c>
      <c r="V10" s="16">
        <v>1</v>
      </c>
      <c r="W10" s="16"/>
      <c r="Y10" s="33" t="s">
        <v>35</v>
      </c>
      <c r="Z10" s="5">
        <v>1000000</v>
      </c>
      <c r="AA10" s="5"/>
      <c r="AB10" s="5">
        <v>150</v>
      </c>
      <c r="AC10" s="33">
        <f>ROUNDUP(AB10*0.9*U13*(1+U14),0)</f>
        <v>192</v>
      </c>
    </row>
    <row r="11" spans="1:29">
      <c r="B11" s="5" t="s">
        <v>36</v>
      </c>
      <c r="C11" s="21" t="s">
        <v>37</v>
      </c>
      <c r="E11" s="5" t="s">
        <v>38</v>
      </c>
      <c r="F11" s="25"/>
      <c r="G11" s="5"/>
      <c r="H11" s="20"/>
      <c r="J11" s="5" t="s">
        <v>39</v>
      </c>
      <c r="K11" s="5"/>
      <c r="L11" s="5"/>
      <c r="M11" s="5"/>
      <c r="N11" s="5"/>
      <c r="Q11" s="5" t="s">
        <v>36</v>
      </c>
      <c r="R11" s="21"/>
      <c r="T11" s="5" t="s">
        <v>38</v>
      </c>
      <c r="U11" s="16">
        <v>1</v>
      </c>
      <c r="V11" s="16">
        <v>1</v>
      </c>
      <c r="W11" s="16"/>
      <c r="Y11" s="48" t="s">
        <v>40</v>
      </c>
      <c r="Z11" s="20"/>
      <c r="AA11" s="20"/>
      <c r="AB11" s="26">
        <v>11.7</v>
      </c>
      <c r="AC11" s="33">
        <f>IF(ROUNDUP(AB11*0.01*(U22+V22+W22),0)&lt;300,300,ROUNDUP(AB11*0.01*(U22+V22+W22),0))</f>
        <v>871</v>
      </c>
    </row>
    <row r="12" spans="1:29">
      <c r="B12" s="5"/>
      <c r="C12" s="21"/>
      <c r="E12" s="5" t="s">
        <v>41</v>
      </c>
      <c r="F12" s="25"/>
      <c r="G12" s="25"/>
      <c r="H12" s="20"/>
      <c r="J12" s="5" t="s">
        <v>35</v>
      </c>
      <c r="K12" s="5"/>
      <c r="L12" s="5"/>
      <c r="M12" s="5"/>
      <c r="N12" s="5"/>
      <c r="Q12" s="5"/>
      <c r="R12" s="21"/>
      <c r="T12" s="5" t="s">
        <v>41</v>
      </c>
      <c r="U12" s="16">
        <v>0.85499999999999998</v>
      </c>
      <c r="V12" s="16">
        <v>0.85499999999999998</v>
      </c>
      <c r="W12" s="16"/>
      <c r="AB12" s="27" t="s">
        <v>42</v>
      </c>
      <c r="AC12" s="27">
        <f>SUM(AC4:AC11)</f>
        <v>12134</v>
      </c>
    </row>
    <row r="13" spans="1:29">
      <c r="B13" s="5" t="s">
        <v>43</v>
      </c>
      <c r="C13" s="21" t="s">
        <v>44</v>
      </c>
      <c r="E13" s="11" t="s">
        <v>45</v>
      </c>
      <c r="F13" s="30"/>
      <c r="G13" s="18"/>
      <c r="H13" s="18"/>
      <c r="J13" s="5" t="s">
        <v>40</v>
      </c>
      <c r="K13" s="5"/>
      <c r="L13" s="5"/>
      <c r="M13" s="5"/>
      <c r="N13" s="5"/>
      <c r="Q13" s="5" t="s">
        <v>43</v>
      </c>
      <c r="R13" s="21"/>
      <c r="T13" s="11" t="s">
        <v>45</v>
      </c>
      <c r="U13" s="16">
        <v>1.89</v>
      </c>
      <c r="V13" s="16">
        <v>1.89</v>
      </c>
      <c r="W13" s="16">
        <v>1.89</v>
      </c>
      <c r="Y13" s="28"/>
      <c r="Z13" s="28"/>
      <c r="AA13" s="28"/>
      <c r="AB13" s="28" t="s">
        <v>46</v>
      </c>
      <c r="AC13" s="29">
        <f>(AC12-N14)/N14</f>
        <v>0.56466795615731791</v>
      </c>
    </row>
    <row r="14" spans="1:29">
      <c r="B14" s="5"/>
      <c r="C14" s="21"/>
      <c r="E14" s="11" t="s">
        <v>47</v>
      </c>
      <c r="F14" s="30"/>
      <c r="G14" s="18"/>
      <c r="H14" s="18"/>
      <c r="M14" s="11" t="s">
        <v>48</v>
      </c>
      <c r="N14" s="46">
        <v>7755</v>
      </c>
      <c r="Q14" s="5"/>
      <c r="R14" s="21"/>
      <c r="T14" s="11" t="s">
        <v>47</v>
      </c>
      <c r="U14" s="16">
        <v>-0.25</v>
      </c>
      <c r="V14" s="16">
        <v>-0.25</v>
      </c>
      <c r="W14" s="16">
        <v>-0.25</v>
      </c>
      <c r="AC14" s="31"/>
    </row>
    <row r="15" spans="1:29" ht="45">
      <c r="B15" s="11" t="s">
        <v>49</v>
      </c>
      <c r="C15" s="21" t="s">
        <v>44</v>
      </c>
      <c r="E15" s="32" t="s">
        <v>50</v>
      </c>
      <c r="F15" s="22"/>
      <c r="G15" s="20"/>
      <c r="H15" s="20"/>
      <c r="Q15" s="11" t="s">
        <v>49</v>
      </c>
      <c r="R15" s="21"/>
      <c r="T15" s="32" t="s">
        <v>50</v>
      </c>
      <c r="U15" s="16">
        <v>1.02</v>
      </c>
      <c r="V15" s="16">
        <v>1.02</v>
      </c>
      <c r="W15" s="16"/>
    </row>
    <row r="16" spans="1:29">
      <c r="B16" s="5" t="s">
        <v>51</v>
      </c>
      <c r="C16" s="21" t="s">
        <v>52</v>
      </c>
      <c r="E16" s="11" t="s">
        <v>53</v>
      </c>
      <c r="F16" s="20"/>
      <c r="G16" s="20"/>
      <c r="H16" s="20"/>
      <c r="Q16" s="5" t="s">
        <v>51</v>
      </c>
      <c r="R16" s="21"/>
      <c r="T16" s="11" t="s">
        <v>53</v>
      </c>
      <c r="U16" s="20"/>
      <c r="V16" s="20"/>
      <c r="W16" s="20"/>
    </row>
    <row r="17" spans="1:23">
      <c r="B17" s="5" t="s">
        <v>54</v>
      </c>
      <c r="C17" s="21" t="s">
        <v>55</v>
      </c>
      <c r="E17" s="5" t="s">
        <v>56</v>
      </c>
      <c r="F17" s="20"/>
      <c r="G17" s="20"/>
      <c r="H17" s="5"/>
      <c r="Q17" s="5" t="s">
        <v>54</v>
      </c>
      <c r="R17" s="21" t="s">
        <v>57</v>
      </c>
      <c r="T17" s="5" t="s">
        <v>56</v>
      </c>
      <c r="U17" s="20"/>
      <c r="V17" s="20"/>
      <c r="W17" s="5">
        <v>2.9740000000000002</v>
      </c>
    </row>
    <row r="18" spans="1:23">
      <c r="B18" s="5" t="s">
        <v>58</v>
      </c>
      <c r="C18" s="21" t="s">
        <v>59</v>
      </c>
      <c r="E18" s="5" t="s">
        <v>60</v>
      </c>
      <c r="F18" s="20"/>
      <c r="G18" s="20"/>
      <c r="H18" s="5"/>
      <c r="Q18" s="33" t="s">
        <v>58</v>
      </c>
      <c r="R18" s="34" t="s">
        <v>61</v>
      </c>
      <c r="T18" s="5" t="s">
        <v>60</v>
      </c>
      <c r="U18" s="20"/>
      <c r="V18" s="20"/>
      <c r="W18" s="5">
        <v>1.0740000000000001</v>
      </c>
    </row>
    <row r="19" spans="1:23">
      <c r="B19" s="5" t="s">
        <v>62</v>
      </c>
      <c r="C19" s="21">
        <v>40</v>
      </c>
      <c r="E19" s="5" t="s">
        <v>63</v>
      </c>
      <c r="F19" s="20"/>
      <c r="G19" s="20"/>
      <c r="H19" s="5"/>
      <c r="Q19" s="5" t="s">
        <v>62</v>
      </c>
      <c r="R19" s="21"/>
      <c r="T19" s="5" t="s">
        <v>63</v>
      </c>
      <c r="U19" s="20"/>
      <c r="V19" s="20"/>
      <c r="W19" s="5">
        <v>1</v>
      </c>
    </row>
    <row r="20" spans="1:23">
      <c r="B20" s="5" t="s">
        <v>64</v>
      </c>
      <c r="C20" s="21" t="s">
        <v>65</v>
      </c>
      <c r="E20" s="35" t="s">
        <v>66</v>
      </c>
      <c r="F20" s="36"/>
      <c r="G20" s="36"/>
      <c r="H20" s="37"/>
      <c r="Q20" s="5" t="s">
        <v>64</v>
      </c>
      <c r="R20" s="21" t="s">
        <v>67</v>
      </c>
      <c r="T20" s="35" t="s">
        <v>66</v>
      </c>
      <c r="U20" s="36">
        <f>ROUND(U5*U6*U7*U8*U9*U10*U11*U12*U15,3)</f>
        <v>0.13700000000000001</v>
      </c>
      <c r="V20" s="36">
        <f>ROUND(V5*V6*V7*V8*V9*V10*V11*V12*V15,3)</f>
        <v>0.89400000000000002</v>
      </c>
      <c r="W20" s="36">
        <f>ROUND(W5*W17*W18*W19,3)</f>
        <v>3.7999999999999999E-2</v>
      </c>
    </row>
    <row r="21" spans="1:23">
      <c r="B21" s="5"/>
      <c r="C21" s="21"/>
      <c r="E21" s="5" t="s">
        <v>68</v>
      </c>
      <c r="F21" s="20"/>
      <c r="G21" s="20"/>
      <c r="H21" s="20"/>
      <c r="Q21" s="5"/>
      <c r="R21" s="21"/>
      <c r="T21" s="5" t="s">
        <v>68</v>
      </c>
      <c r="U21" s="20">
        <f>ROUND(U20*U13*(1+U14),3)</f>
        <v>0.19400000000000001</v>
      </c>
      <c r="V21" s="20">
        <f>ROUND(V20*V13*(1+V14),3)</f>
        <v>1.2669999999999999</v>
      </c>
      <c r="W21" s="20">
        <f>ROUND(W20*W13*(1+W14),3)</f>
        <v>5.3999999999999999E-2</v>
      </c>
    </row>
    <row r="22" spans="1:23">
      <c r="B22" s="5" t="s">
        <v>69</v>
      </c>
      <c r="C22" s="21">
        <v>3500000</v>
      </c>
      <c r="E22" s="38" t="s">
        <v>70</v>
      </c>
      <c r="F22" s="39">
        <f>ROUNDUP(F20*F3/100,0)</f>
        <v>0</v>
      </c>
      <c r="G22" s="39">
        <f>ROUNDUP(G20*G3/100,0)</f>
        <v>0</v>
      </c>
      <c r="H22" s="39">
        <f>ROUNDUP(H20*H3/100,0)</f>
        <v>0</v>
      </c>
      <c r="Q22" s="5" t="s">
        <v>69</v>
      </c>
      <c r="R22" s="21">
        <v>1500000</v>
      </c>
      <c r="T22" s="38" t="s">
        <v>70</v>
      </c>
      <c r="U22" s="39">
        <f>ROUNDUP(U20*U3/100,0)</f>
        <v>5753</v>
      </c>
      <c r="V22" s="39">
        <f>ROUNDUP(V20*V3/100,0)</f>
        <v>90</v>
      </c>
      <c r="W22" s="39">
        <f>ROUNDUP(W20*W3/100,0)</f>
        <v>1596</v>
      </c>
    </row>
    <row r="23" spans="1:23">
      <c r="B23" s="5" t="s">
        <v>71</v>
      </c>
      <c r="C23" s="40">
        <v>1000</v>
      </c>
      <c r="E23" s="41" t="s">
        <v>72</v>
      </c>
      <c r="F23" s="42">
        <f>ROUNDUP(F21*F3/100,0)</f>
        <v>0</v>
      </c>
      <c r="G23" s="42">
        <f>ROUNDUP(G21*G3/100,0)</f>
        <v>0</v>
      </c>
      <c r="H23" s="42">
        <f>ROUNDUP(H21*H3/100,0)</f>
        <v>0</v>
      </c>
      <c r="Q23" s="5" t="s">
        <v>71</v>
      </c>
      <c r="R23" s="40">
        <v>2500</v>
      </c>
      <c r="T23" s="41" t="s">
        <v>72</v>
      </c>
      <c r="U23" s="42">
        <f>ROUNDUP(U21*U3/100,0)</f>
        <v>8147</v>
      </c>
      <c r="V23" s="42">
        <f>ROUNDUP(V21*V3/100,0)</f>
        <v>127</v>
      </c>
      <c r="W23" s="42">
        <f>ROUNDUP(W21*W3/100,0)</f>
        <v>2268</v>
      </c>
    </row>
    <row r="24" spans="1:23">
      <c r="B24" s="5" t="s">
        <v>73</v>
      </c>
      <c r="C24" s="43" t="s">
        <v>74</v>
      </c>
      <c r="Q24" s="5" t="s">
        <v>73</v>
      </c>
      <c r="R24" s="43">
        <v>0.02</v>
      </c>
      <c r="T24" t="s">
        <v>108</v>
      </c>
      <c r="U24">
        <v>18</v>
      </c>
    </row>
    <row r="25" spans="1:23">
      <c r="B25" s="5" t="s">
        <v>75</v>
      </c>
      <c r="C25" s="21" t="s">
        <v>76</v>
      </c>
      <c r="Q25" s="5" t="s">
        <v>75</v>
      </c>
      <c r="R25" s="21"/>
    </row>
    <row r="26" spans="1:23">
      <c r="B26" s="5" t="s">
        <v>77</v>
      </c>
      <c r="C26" s="21" t="s">
        <v>78</v>
      </c>
      <c r="Q26" s="5" t="s">
        <v>77</v>
      </c>
      <c r="R26" s="21"/>
    </row>
    <row r="27" spans="1:23">
      <c r="B27" s="5" t="s">
        <v>79</v>
      </c>
      <c r="C27" s="21" t="s">
        <v>80</v>
      </c>
      <c r="E27" s="44"/>
      <c r="Q27" s="5" t="s">
        <v>79</v>
      </c>
      <c r="R27" s="21"/>
    </row>
    <row r="28" spans="1:23">
      <c r="B28" s="5"/>
      <c r="C28" s="21"/>
      <c r="E28" s="44"/>
      <c r="Q28" s="45"/>
      <c r="R28" s="21"/>
    </row>
    <row r="29" spans="1:23">
      <c r="A29" s="11" t="s">
        <v>81</v>
      </c>
      <c r="B29" s="45" t="s">
        <v>82</v>
      </c>
      <c r="C29" s="21" t="s">
        <v>74</v>
      </c>
      <c r="Q29" s="45" t="s">
        <v>82</v>
      </c>
      <c r="R29" s="21" t="s">
        <v>74</v>
      </c>
    </row>
    <row r="30" spans="1:23">
      <c r="B30" s="5" t="s">
        <v>83</v>
      </c>
      <c r="C30" s="21">
        <v>0</v>
      </c>
      <c r="P30" s="11" t="s">
        <v>81</v>
      </c>
      <c r="Q30" s="5" t="s">
        <v>83</v>
      </c>
      <c r="R30" s="21">
        <v>0</v>
      </c>
    </row>
    <row r="31" spans="1:23">
      <c r="B31" s="5" t="s">
        <v>84</v>
      </c>
      <c r="C31" s="21" t="s">
        <v>74</v>
      </c>
      <c r="Q31" s="5" t="s">
        <v>84</v>
      </c>
      <c r="R31" s="21" t="s">
        <v>74</v>
      </c>
    </row>
    <row r="32" spans="1:23">
      <c r="B32" s="5" t="s">
        <v>85</v>
      </c>
      <c r="C32" s="21" t="s">
        <v>74</v>
      </c>
      <c r="Q32" s="5" t="s">
        <v>85</v>
      </c>
      <c r="R32" s="21" t="s">
        <v>74</v>
      </c>
    </row>
    <row r="33" spans="1:18">
      <c r="B33" s="5"/>
      <c r="C33" s="21"/>
      <c r="Q33" s="5"/>
      <c r="R33" s="21"/>
    </row>
    <row r="34" spans="1:18">
      <c r="A34" s="11" t="s">
        <v>86</v>
      </c>
      <c r="B34" s="45" t="s">
        <v>87</v>
      </c>
      <c r="C34" s="21" t="s">
        <v>88</v>
      </c>
      <c r="Q34" s="45" t="s">
        <v>87</v>
      </c>
      <c r="R34" s="21" t="s">
        <v>88</v>
      </c>
    </row>
    <row r="35" spans="1:18">
      <c r="B35" s="5" t="s">
        <v>89</v>
      </c>
      <c r="C35" s="21" t="s">
        <v>90</v>
      </c>
      <c r="P35" s="11" t="s">
        <v>86</v>
      </c>
      <c r="Q35" s="5" t="s">
        <v>89</v>
      </c>
      <c r="R35" s="21" t="s">
        <v>90</v>
      </c>
    </row>
    <row r="36" spans="1:18">
      <c r="B36" s="5" t="s">
        <v>91</v>
      </c>
      <c r="C36" s="21" t="s">
        <v>92</v>
      </c>
      <c r="Q36" s="5" t="s">
        <v>91</v>
      </c>
      <c r="R36" s="21" t="s">
        <v>92</v>
      </c>
    </row>
    <row r="37" spans="1:18">
      <c r="B37" s="5" t="s">
        <v>93</v>
      </c>
      <c r="C37" s="21">
        <v>1</v>
      </c>
      <c r="Q37" s="5" t="s">
        <v>93</v>
      </c>
      <c r="R37" s="21">
        <v>1</v>
      </c>
    </row>
    <row r="38" spans="1:18">
      <c r="B38" s="5" t="s">
        <v>94</v>
      </c>
      <c r="C38" s="21">
        <v>1971</v>
      </c>
      <c r="Q38" s="5" t="s">
        <v>94</v>
      </c>
      <c r="R38" s="21">
        <v>1971</v>
      </c>
    </row>
    <row r="39" spans="1:18">
      <c r="B39" s="5"/>
      <c r="C39" s="21"/>
      <c r="Q39" s="5"/>
      <c r="R39" s="21"/>
    </row>
    <row r="40" spans="1:18">
      <c r="B40" s="5" t="s">
        <v>95</v>
      </c>
      <c r="C40" s="21" t="s">
        <v>52</v>
      </c>
      <c r="Q40" s="5" t="s">
        <v>95</v>
      </c>
      <c r="R40" s="21" t="s">
        <v>52</v>
      </c>
    </row>
    <row r="41" spans="1:18">
      <c r="B41" s="5" t="s">
        <v>96</v>
      </c>
      <c r="C41" s="21" t="s">
        <v>52</v>
      </c>
      <c r="Q41" s="5" t="s">
        <v>96</v>
      </c>
      <c r="R41" s="21" t="s">
        <v>52</v>
      </c>
    </row>
    <row r="42" spans="1:18">
      <c r="B42" s="5" t="s">
        <v>97</v>
      </c>
      <c r="C42" s="21" t="s">
        <v>52</v>
      </c>
      <c r="Q42" s="5" t="s">
        <v>97</v>
      </c>
      <c r="R42" s="21" t="s">
        <v>52</v>
      </c>
    </row>
    <row r="43" spans="1:18">
      <c r="B43" s="5"/>
      <c r="C43" s="21"/>
      <c r="Q43" s="5"/>
      <c r="R43" s="21"/>
    </row>
    <row r="44" spans="1:18">
      <c r="B44" s="5" t="s">
        <v>98</v>
      </c>
      <c r="C44" s="21" t="s">
        <v>99</v>
      </c>
      <c r="Q44" s="5" t="s">
        <v>98</v>
      </c>
      <c r="R44" s="21" t="s">
        <v>99</v>
      </c>
    </row>
    <row r="45" spans="1:18">
      <c r="B45" s="5" t="s">
        <v>100</v>
      </c>
      <c r="C45" s="21">
        <v>99</v>
      </c>
      <c r="Q45" s="5" t="s">
        <v>100</v>
      </c>
      <c r="R45" s="21">
        <v>99</v>
      </c>
    </row>
    <row r="46" spans="1:18">
      <c r="B46" s="5" t="s">
        <v>101</v>
      </c>
      <c r="C46" s="21">
        <v>3811</v>
      </c>
      <c r="Q46" s="5" t="s">
        <v>101</v>
      </c>
      <c r="R46" s="21">
        <v>3811</v>
      </c>
    </row>
    <row r="47" spans="1:18">
      <c r="B47" s="5" t="s">
        <v>102</v>
      </c>
      <c r="C47" s="21">
        <v>0</v>
      </c>
      <c r="Q47" s="5" t="s">
        <v>102</v>
      </c>
      <c r="R47" s="21">
        <v>0</v>
      </c>
    </row>
    <row r="48" spans="1:18">
      <c r="B48" s="5" t="s">
        <v>103</v>
      </c>
      <c r="C48" s="21">
        <v>0</v>
      </c>
      <c r="Q48" s="5" t="s">
        <v>103</v>
      </c>
      <c r="R48" s="21">
        <v>0</v>
      </c>
    </row>
    <row r="49" spans="2:18">
      <c r="B49" s="5" t="s">
        <v>104</v>
      </c>
      <c r="C49" s="21">
        <v>27</v>
      </c>
      <c r="Q49" s="5" t="s">
        <v>104</v>
      </c>
      <c r="R49" s="21">
        <v>27</v>
      </c>
    </row>
    <row r="50" spans="2:18">
      <c r="B50" s="5" t="s">
        <v>105</v>
      </c>
      <c r="C50" s="21">
        <v>0</v>
      </c>
      <c r="Q50" s="5" t="s">
        <v>105</v>
      </c>
      <c r="R50" s="21">
        <v>0</v>
      </c>
    </row>
    <row r="51" spans="2:18">
      <c r="B51" s="5" t="s">
        <v>106</v>
      </c>
      <c r="C51" s="21">
        <v>0</v>
      </c>
      <c r="Q51" s="5" t="s">
        <v>106</v>
      </c>
      <c r="R51" s="21">
        <v>0</v>
      </c>
    </row>
    <row r="52" spans="2:18">
      <c r="B52" s="5" t="s">
        <v>107</v>
      </c>
      <c r="C52" s="21">
        <v>705</v>
      </c>
      <c r="Q52" s="5" t="s">
        <v>107</v>
      </c>
      <c r="R52" s="21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746D-D528-4252-9B86-36C73478DDCE}">
  <dimension ref="A1:AE115"/>
  <sheetViews>
    <sheetView topLeftCell="D94" workbookViewId="0">
      <selection activeCell="W111" sqref="W111"/>
    </sheetView>
  </sheetViews>
  <sheetFormatPr defaultRowHeight="15"/>
  <cols>
    <col min="14" max="14" width="13.140625" bestFit="1" customWidth="1"/>
  </cols>
  <sheetData>
    <row r="1" spans="1:3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124</v>
      </c>
      <c r="P1" t="s">
        <v>125</v>
      </c>
      <c r="Q1" t="s">
        <v>126</v>
      </c>
      <c r="R1" t="s">
        <v>128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</row>
    <row r="2" spans="1:31">
      <c r="A2" t="s">
        <v>0</v>
      </c>
      <c r="B2">
        <v>0</v>
      </c>
      <c r="C2">
        <v>1</v>
      </c>
      <c r="D2">
        <v>1</v>
      </c>
      <c r="E2">
        <v>400101</v>
      </c>
      <c r="F2">
        <v>3888000</v>
      </c>
      <c r="G2">
        <v>5327</v>
      </c>
      <c r="H2">
        <v>0</v>
      </c>
      <c r="I2">
        <v>0</v>
      </c>
      <c r="J2">
        <v>3888000</v>
      </c>
      <c r="K2">
        <v>5327</v>
      </c>
      <c r="L2">
        <v>0.13700000000000001</v>
      </c>
      <c r="M2">
        <v>-0.25</v>
      </c>
      <c r="N2" t="s">
        <v>76</v>
      </c>
      <c r="O2" t="b">
        <f>E2=W2</f>
        <v>1</v>
      </c>
      <c r="P2" t="b">
        <f>(J2-H2)=AA2</f>
        <v>0</v>
      </c>
      <c r="Q2" t="b">
        <f>N2=AE2</f>
        <v>1</v>
      </c>
      <c r="R2" t="b">
        <f>K2=AB2</f>
        <v>0</v>
      </c>
      <c r="S2" t="s">
        <v>127</v>
      </c>
      <c r="T2">
        <v>0</v>
      </c>
      <c r="U2">
        <v>1</v>
      </c>
      <c r="V2">
        <v>1</v>
      </c>
      <c r="W2">
        <v>400101</v>
      </c>
      <c r="X2">
        <v>0</v>
      </c>
      <c r="Y2">
        <v>0</v>
      </c>
      <c r="Z2">
        <v>0</v>
      </c>
      <c r="AA2">
        <v>4199040</v>
      </c>
      <c r="AB2">
        <v>8147</v>
      </c>
      <c r="AC2">
        <v>0.19400000000000001</v>
      </c>
      <c r="AD2">
        <v>-0.25</v>
      </c>
      <c r="AE2" t="s">
        <v>76</v>
      </c>
    </row>
    <row r="3" spans="1:31">
      <c r="A3" t="s">
        <v>0</v>
      </c>
      <c r="B3">
        <v>0</v>
      </c>
      <c r="C3">
        <v>1</v>
      </c>
      <c r="D3">
        <v>1</v>
      </c>
      <c r="E3">
        <v>400102</v>
      </c>
      <c r="F3">
        <v>10000</v>
      </c>
      <c r="G3">
        <v>96</v>
      </c>
      <c r="H3">
        <v>0</v>
      </c>
      <c r="I3">
        <v>0</v>
      </c>
      <c r="J3">
        <v>10000</v>
      </c>
      <c r="K3">
        <v>96</v>
      </c>
      <c r="L3">
        <v>0.95399999999999996</v>
      </c>
      <c r="M3">
        <v>-0.25</v>
      </c>
      <c r="N3" t="s">
        <v>76</v>
      </c>
      <c r="O3" t="b">
        <f t="shared" ref="O3:O40" si="0">E3=W3</f>
        <v>1</v>
      </c>
      <c r="P3" t="b">
        <f t="shared" ref="P3:P40" si="1">(J3-H3)=AA3</f>
        <v>1</v>
      </c>
      <c r="Q3" t="b">
        <f t="shared" ref="Q3:Q40" si="2">N3=AE3</f>
        <v>1</v>
      </c>
      <c r="R3" t="b">
        <f t="shared" ref="R3:R40" si="3">K3=AB3</f>
        <v>0</v>
      </c>
      <c r="S3" t="s">
        <v>127</v>
      </c>
      <c r="T3">
        <v>0</v>
      </c>
      <c r="U3">
        <v>1</v>
      </c>
      <c r="V3">
        <v>1</v>
      </c>
      <c r="W3">
        <v>400102</v>
      </c>
      <c r="X3">
        <v>0</v>
      </c>
      <c r="Y3">
        <v>0</v>
      </c>
      <c r="Z3">
        <v>0</v>
      </c>
      <c r="AA3">
        <v>10000</v>
      </c>
      <c r="AB3">
        <v>127</v>
      </c>
      <c r="AC3">
        <v>1.2669999999999999</v>
      </c>
      <c r="AD3">
        <v>-0.25</v>
      </c>
      <c r="AE3" t="s">
        <v>76</v>
      </c>
    </row>
    <row r="4" spans="1:31">
      <c r="A4" t="s">
        <v>0</v>
      </c>
      <c r="B4">
        <v>0</v>
      </c>
      <c r="C4">
        <v>1</v>
      </c>
      <c r="D4">
        <v>1</v>
      </c>
      <c r="E4">
        <v>400103</v>
      </c>
      <c r="F4">
        <v>260000</v>
      </c>
      <c r="G4">
        <v>0</v>
      </c>
      <c r="H4">
        <v>0</v>
      </c>
      <c r="I4">
        <v>0</v>
      </c>
      <c r="J4">
        <v>260000</v>
      </c>
      <c r="K4">
        <v>0</v>
      </c>
      <c r="L4">
        <v>0</v>
      </c>
      <c r="M4">
        <v>0</v>
      </c>
      <c r="N4" t="s">
        <v>76</v>
      </c>
      <c r="O4" t="b">
        <f t="shared" si="0"/>
        <v>1</v>
      </c>
      <c r="P4" t="b">
        <f t="shared" si="1"/>
        <v>1</v>
      </c>
      <c r="Q4" t="b">
        <f t="shared" si="2"/>
        <v>1</v>
      </c>
      <c r="R4" t="b">
        <f t="shared" si="3"/>
        <v>1</v>
      </c>
      <c r="S4" t="s">
        <v>127</v>
      </c>
      <c r="T4">
        <v>0</v>
      </c>
      <c r="U4">
        <v>1</v>
      </c>
      <c r="V4">
        <v>1</v>
      </c>
      <c r="W4">
        <v>400103</v>
      </c>
      <c r="X4">
        <v>0</v>
      </c>
      <c r="Y4">
        <v>0</v>
      </c>
      <c r="Z4">
        <v>0</v>
      </c>
      <c r="AA4">
        <v>260000</v>
      </c>
      <c r="AB4">
        <v>0</v>
      </c>
      <c r="AC4">
        <v>0</v>
      </c>
      <c r="AD4">
        <v>0</v>
      </c>
      <c r="AE4" t="s">
        <v>76</v>
      </c>
    </row>
    <row r="5" spans="1:31">
      <c r="A5" t="s">
        <v>0</v>
      </c>
      <c r="B5">
        <v>0</v>
      </c>
      <c r="C5">
        <v>1</v>
      </c>
      <c r="D5">
        <v>1</v>
      </c>
      <c r="E5">
        <v>400104</v>
      </c>
      <c r="F5">
        <v>255000</v>
      </c>
      <c r="G5">
        <v>0</v>
      </c>
      <c r="H5">
        <v>0</v>
      </c>
      <c r="I5">
        <v>0</v>
      </c>
      <c r="J5">
        <v>255000</v>
      </c>
      <c r="K5">
        <v>0</v>
      </c>
      <c r="L5">
        <v>0</v>
      </c>
      <c r="M5">
        <v>0</v>
      </c>
      <c r="N5" t="s">
        <v>76</v>
      </c>
      <c r="O5" t="b">
        <f t="shared" si="0"/>
        <v>1</v>
      </c>
      <c r="P5" t="b">
        <f t="shared" si="1"/>
        <v>1</v>
      </c>
      <c r="Q5" t="b">
        <f t="shared" si="2"/>
        <v>1</v>
      </c>
      <c r="R5" t="b">
        <f t="shared" si="3"/>
        <v>1</v>
      </c>
      <c r="S5" t="s">
        <v>127</v>
      </c>
      <c r="T5">
        <v>0</v>
      </c>
      <c r="U5">
        <v>1</v>
      </c>
      <c r="V5">
        <v>1</v>
      </c>
      <c r="W5">
        <v>400104</v>
      </c>
      <c r="X5">
        <v>0</v>
      </c>
      <c r="Y5">
        <v>0</v>
      </c>
      <c r="Z5">
        <v>0</v>
      </c>
      <c r="AA5">
        <v>255000</v>
      </c>
      <c r="AB5">
        <v>0</v>
      </c>
      <c r="AC5">
        <v>0</v>
      </c>
      <c r="AD5">
        <v>0</v>
      </c>
      <c r="AE5" t="s">
        <v>76</v>
      </c>
    </row>
    <row r="6" spans="1:31">
      <c r="A6" t="s">
        <v>0</v>
      </c>
      <c r="B6">
        <v>0</v>
      </c>
      <c r="C6">
        <v>1</v>
      </c>
      <c r="D6">
        <v>1</v>
      </c>
      <c r="E6">
        <v>400105</v>
      </c>
      <c r="F6">
        <v>8</v>
      </c>
      <c r="G6">
        <v>0</v>
      </c>
      <c r="H6">
        <v>0</v>
      </c>
      <c r="I6">
        <v>0</v>
      </c>
      <c r="J6">
        <v>8</v>
      </c>
      <c r="K6">
        <v>0</v>
      </c>
      <c r="L6">
        <v>0</v>
      </c>
      <c r="M6">
        <v>0</v>
      </c>
      <c r="N6" t="s">
        <v>76</v>
      </c>
      <c r="O6" t="b">
        <f t="shared" si="0"/>
        <v>1</v>
      </c>
      <c r="P6" t="b">
        <f t="shared" si="1"/>
        <v>1</v>
      </c>
      <c r="Q6" t="b">
        <f t="shared" si="2"/>
        <v>1</v>
      </c>
      <c r="R6" t="b">
        <f t="shared" si="3"/>
        <v>1</v>
      </c>
      <c r="S6" t="s">
        <v>127</v>
      </c>
      <c r="T6">
        <v>0</v>
      </c>
      <c r="U6">
        <v>1</v>
      </c>
      <c r="V6">
        <v>1</v>
      </c>
      <c r="W6">
        <v>400105</v>
      </c>
      <c r="X6">
        <v>0</v>
      </c>
      <c r="Y6">
        <v>0</v>
      </c>
      <c r="Z6">
        <v>0</v>
      </c>
      <c r="AA6">
        <v>8</v>
      </c>
      <c r="AB6">
        <v>0</v>
      </c>
      <c r="AC6">
        <v>0</v>
      </c>
      <c r="AD6">
        <v>0</v>
      </c>
      <c r="AE6" t="s">
        <v>76</v>
      </c>
    </row>
    <row r="7" spans="1:31">
      <c r="A7" t="s">
        <v>0</v>
      </c>
      <c r="B7">
        <v>0</v>
      </c>
      <c r="C7">
        <v>1</v>
      </c>
      <c r="D7">
        <v>1</v>
      </c>
      <c r="E7">
        <v>400106</v>
      </c>
      <c r="F7">
        <v>255000</v>
      </c>
      <c r="G7">
        <v>0</v>
      </c>
      <c r="H7">
        <v>0</v>
      </c>
      <c r="I7">
        <v>0</v>
      </c>
      <c r="J7">
        <v>255000</v>
      </c>
      <c r="K7">
        <v>0</v>
      </c>
      <c r="L7">
        <v>0</v>
      </c>
      <c r="M7">
        <v>0</v>
      </c>
      <c r="N7" t="s">
        <v>76</v>
      </c>
      <c r="O7" t="b">
        <f t="shared" si="0"/>
        <v>1</v>
      </c>
      <c r="P7" t="b">
        <f t="shared" si="1"/>
        <v>1</v>
      </c>
      <c r="Q7" t="b">
        <f t="shared" si="2"/>
        <v>1</v>
      </c>
      <c r="R7" t="b">
        <f t="shared" si="3"/>
        <v>1</v>
      </c>
      <c r="S7" t="s">
        <v>127</v>
      </c>
      <c r="T7">
        <v>0</v>
      </c>
      <c r="U7">
        <v>1</v>
      </c>
      <c r="V7">
        <v>1</v>
      </c>
      <c r="W7">
        <v>400106</v>
      </c>
      <c r="X7">
        <v>0</v>
      </c>
      <c r="Y7">
        <v>0</v>
      </c>
      <c r="Z7">
        <v>0</v>
      </c>
      <c r="AA7">
        <v>255000</v>
      </c>
      <c r="AB7">
        <v>0</v>
      </c>
      <c r="AC7">
        <v>0</v>
      </c>
      <c r="AD7">
        <v>0</v>
      </c>
      <c r="AE7" t="s">
        <v>76</v>
      </c>
    </row>
    <row r="8" spans="1:31">
      <c r="A8" t="s">
        <v>0</v>
      </c>
      <c r="B8">
        <v>0</v>
      </c>
      <c r="C8">
        <v>1</v>
      </c>
      <c r="D8">
        <v>1</v>
      </c>
      <c r="E8">
        <v>400107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123</v>
      </c>
      <c r="O8" t="b">
        <f t="shared" si="0"/>
        <v>1</v>
      </c>
      <c r="P8" t="b">
        <f t="shared" si="1"/>
        <v>1</v>
      </c>
      <c r="Q8" t="b">
        <f t="shared" si="2"/>
        <v>1</v>
      </c>
      <c r="R8" t="b">
        <f t="shared" si="3"/>
        <v>1</v>
      </c>
      <c r="S8" t="s">
        <v>127</v>
      </c>
      <c r="T8">
        <v>0</v>
      </c>
      <c r="U8">
        <v>1</v>
      </c>
      <c r="V8">
        <v>1</v>
      </c>
      <c r="W8">
        <v>400107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123</v>
      </c>
    </row>
    <row r="9" spans="1:31">
      <c r="A9" t="s">
        <v>0</v>
      </c>
      <c r="B9">
        <v>0</v>
      </c>
      <c r="C9">
        <v>1</v>
      </c>
      <c r="D9">
        <v>1</v>
      </c>
      <c r="E9">
        <v>400108</v>
      </c>
      <c r="F9">
        <v>60</v>
      </c>
      <c r="G9">
        <v>0</v>
      </c>
      <c r="H9">
        <v>0</v>
      </c>
      <c r="I9">
        <v>0</v>
      </c>
      <c r="J9">
        <v>60</v>
      </c>
      <c r="K9">
        <v>0</v>
      </c>
      <c r="L9">
        <v>0</v>
      </c>
      <c r="M9">
        <v>0</v>
      </c>
      <c r="N9" t="s">
        <v>76</v>
      </c>
      <c r="O9" t="b">
        <f t="shared" si="0"/>
        <v>1</v>
      </c>
      <c r="P9" t="b">
        <f t="shared" si="1"/>
        <v>1</v>
      </c>
      <c r="Q9" t="b">
        <f t="shared" si="2"/>
        <v>1</v>
      </c>
      <c r="R9" t="b">
        <f t="shared" si="3"/>
        <v>1</v>
      </c>
      <c r="S9" t="s">
        <v>127</v>
      </c>
      <c r="T9">
        <v>0</v>
      </c>
      <c r="U9">
        <v>1</v>
      </c>
      <c r="V9">
        <v>1</v>
      </c>
      <c r="W9">
        <v>400108</v>
      </c>
      <c r="X9">
        <v>0</v>
      </c>
      <c r="Y9">
        <v>0</v>
      </c>
      <c r="Z9">
        <v>0</v>
      </c>
      <c r="AA9">
        <v>60</v>
      </c>
      <c r="AB9">
        <v>0</v>
      </c>
      <c r="AC9">
        <v>0</v>
      </c>
      <c r="AD9">
        <v>0</v>
      </c>
      <c r="AE9" t="s">
        <v>76</v>
      </c>
    </row>
    <row r="10" spans="1:31">
      <c r="A10" t="s">
        <v>0</v>
      </c>
      <c r="B10">
        <v>0</v>
      </c>
      <c r="C10">
        <v>1</v>
      </c>
      <c r="D10">
        <v>1</v>
      </c>
      <c r="E10">
        <v>400109</v>
      </c>
      <c r="F10">
        <v>240</v>
      </c>
      <c r="G10">
        <v>0</v>
      </c>
      <c r="H10">
        <v>0</v>
      </c>
      <c r="I10">
        <v>0</v>
      </c>
      <c r="J10">
        <v>240</v>
      </c>
      <c r="K10">
        <v>0</v>
      </c>
      <c r="L10">
        <v>0</v>
      </c>
      <c r="M10">
        <v>0</v>
      </c>
      <c r="N10" t="s">
        <v>76</v>
      </c>
      <c r="O10" t="b">
        <f t="shared" si="0"/>
        <v>1</v>
      </c>
      <c r="P10" t="b">
        <f t="shared" si="1"/>
        <v>1</v>
      </c>
      <c r="Q10" t="b">
        <f t="shared" si="2"/>
        <v>1</v>
      </c>
      <c r="R10" t="b">
        <f t="shared" si="3"/>
        <v>1</v>
      </c>
      <c r="S10" t="s">
        <v>127</v>
      </c>
      <c r="T10">
        <v>0</v>
      </c>
      <c r="U10">
        <v>1</v>
      </c>
      <c r="V10">
        <v>1</v>
      </c>
      <c r="W10">
        <v>400109</v>
      </c>
      <c r="X10">
        <v>0</v>
      </c>
      <c r="Y10">
        <v>0</v>
      </c>
      <c r="Z10">
        <v>0</v>
      </c>
      <c r="AA10">
        <v>240</v>
      </c>
      <c r="AB10">
        <v>0</v>
      </c>
      <c r="AC10">
        <v>0</v>
      </c>
      <c r="AD10">
        <v>0</v>
      </c>
      <c r="AE10" t="s">
        <v>76</v>
      </c>
    </row>
    <row r="11" spans="1:31">
      <c r="A11" t="s">
        <v>0</v>
      </c>
      <c r="B11">
        <v>0</v>
      </c>
      <c r="C11">
        <v>1</v>
      </c>
      <c r="D11">
        <v>1</v>
      </c>
      <c r="E11">
        <v>400110</v>
      </c>
      <c r="F11">
        <v>60000</v>
      </c>
      <c r="G11">
        <v>0</v>
      </c>
      <c r="H11">
        <v>0</v>
      </c>
      <c r="I11">
        <v>0</v>
      </c>
      <c r="J11">
        <v>60000</v>
      </c>
      <c r="K11">
        <v>0</v>
      </c>
      <c r="L11">
        <v>0</v>
      </c>
      <c r="M11">
        <v>0</v>
      </c>
      <c r="N11" t="s">
        <v>76</v>
      </c>
      <c r="O11" t="b">
        <f t="shared" si="0"/>
        <v>1</v>
      </c>
      <c r="P11" t="b">
        <f t="shared" si="1"/>
        <v>1</v>
      </c>
      <c r="Q11" t="b">
        <f t="shared" si="2"/>
        <v>1</v>
      </c>
      <c r="R11" t="b">
        <f t="shared" si="3"/>
        <v>1</v>
      </c>
      <c r="S11" t="s">
        <v>127</v>
      </c>
      <c r="T11">
        <v>0</v>
      </c>
      <c r="U11">
        <v>1</v>
      </c>
      <c r="V11">
        <v>1</v>
      </c>
      <c r="W11">
        <v>400110</v>
      </c>
      <c r="X11">
        <v>0</v>
      </c>
      <c r="Y11">
        <v>0</v>
      </c>
      <c r="Z11">
        <v>0</v>
      </c>
      <c r="AA11">
        <v>60000</v>
      </c>
      <c r="AB11">
        <v>0</v>
      </c>
      <c r="AC11">
        <v>0</v>
      </c>
      <c r="AD11">
        <v>0</v>
      </c>
      <c r="AE11" t="s">
        <v>76</v>
      </c>
    </row>
    <row r="12" spans="1:31">
      <c r="A12" t="s">
        <v>0</v>
      </c>
      <c r="B12">
        <v>0</v>
      </c>
      <c r="C12">
        <v>1</v>
      </c>
      <c r="D12">
        <v>1</v>
      </c>
      <c r="E12">
        <v>400111</v>
      </c>
      <c r="F12">
        <v>27500</v>
      </c>
      <c r="G12">
        <v>0</v>
      </c>
      <c r="H12">
        <v>0</v>
      </c>
      <c r="I12">
        <v>0</v>
      </c>
      <c r="J12">
        <v>27500</v>
      </c>
      <c r="K12">
        <v>0</v>
      </c>
      <c r="L12">
        <v>0</v>
      </c>
      <c r="M12">
        <v>0</v>
      </c>
      <c r="N12" t="s">
        <v>76</v>
      </c>
      <c r="O12" t="b">
        <f t="shared" si="0"/>
        <v>1</v>
      </c>
      <c r="P12" t="b">
        <f t="shared" si="1"/>
        <v>1</v>
      </c>
      <c r="Q12" t="b">
        <f t="shared" si="2"/>
        <v>1</v>
      </c>
      <c r="R12" t="b">
        <f t="shared" si="3"/>
        <v>1</v>
      </c>
      <c r="S12" t="s">
        <v>127</v>
      </c>
      <c r="T12">
        <v>0</v>
      </c>
      <c r="U12">
        <v>1</v>
      </c>
      <c r="V12">
        <v>1</v>
      </c>
      <c r="W12">
        <v>400111</v>
      </c>
      <c r="X12">
        <v>0</v>
      </c>
      <c r="Y12">
        <v>0</v>
      </c>
      <c r="Z12">
        <v>0</v>
      </c>
      <c r="AA12">
        <v>27500</v>
      </c>
      <c r="AB12">
        <v>0</v>
      </c>
      <c r="AC12">
        <v>0</v>
      </c>
      <c r="AD12">
        <v>0</v>
      </c>
      <c r="AE12" t="s">
        <v>76</v>
      </c>
    </row>
    <row r="13" spans="1:31">
      <c r="A13" t="s">
        <v>0</v>
      </c>
      <c r="B13">
        <v>0</v>
      </c>
      <c r="C13">
        <v>1</v>
      </c>
      <c r="D13">
        <v>1</v>
      </c>
      <c r="E13">
        <v>400112</v>
      </c>
      <c r="F13">
        <v>27500</v>
      </c>
      <c r="G13">
        <v>0</v>
      </c>
      <c r="H13">
        <v>0</v>
      </c>
      <c r="I13">
        <v>0</v>
      </c>
      <c r="J13">
        <v>27500</v>
      </c>
      <c r="K13">
        <v>0</v>
      </c>
      <c r="L13">
        <v>0</v>
      </c>
      <c r="M13">
        <v>0</v>
      </c>
      <c r="N13" t="s">
        <v>76</v>
      </c>
      <c r="O13" t="b">
        <f t="shared" si="0"/>
        <v>1</v>
      </c>
      <c r="P13" t="b">
        <f t="shared" si="1"/>
        <v>1</v>
      </c>
      <c r="Q13" t="b">
        <f t="shared" si="2"/>
        <v>1</v>
      </c>
      <c r="R13" t="b">
        <f t="shared" si="3"/>
        <v>1</v>
      </c>
      <c r="S13" t="s">
        <v>127</v>
      </c>
      <c r="T13">
        <v>0</v>
      </c>
      <c r="U13">
        <v>1</v>
      </c>
      <c r="V13">
        <v>1</v>
      </c>
      <c r="W13">
        <v>400112</v>
      </c>
      <c r="X13">
        <v>0</v>
      </c>
      <c r="Y13">
        <v>0</v>
      </c>
      <c r="Z13">
        <v>0</v>
      </c>
      <c r="AA13">
        <v>27500</v>
      </c>
      <c r="AB13">
        <v>0</v>
      </c>
      <c r="AC13">
        <v>0</v>
      </c>
      <c r="AD13">
        <v>0</v>
      </c>
      <c r="AE13" t="s">
        <v>76</v>
      </c>
    </row>
    <row r="14" spans="1:31">
      <c r="A14" t="s">
        <v>0</v>
      </c>
      <c r="B14">
        <v>0</v>
      </c>
      <c r="C14">
        <v>1</v>
      </c>
      <c r="D14">
        <v>1</v>
      </c>
      <c r="E14">
        <v>400113</v>
      </c>
      <c r="F14">
        <v>35000</v>
      </c>
      <c r="G14">
        <v>0</v>
      </c>
      <c r="H14">
        <v>0</v>
      </c>
      <c r="I14">
        <v>0</v>
      </c>
      <c r="J14">
        <v>35000</v>
      </c>
      <c r="K14">
        <v>0</v>
      </c>
      <c r="L14">
        <v>0</v>
      </c>
      <c r="M14">
        <v>0</v>
      </c>
      <c r="N14" t="s">
        <v>76</v>
      </c>
      <c r="O14" t="b">
        <f t="shared" si="0"/>
        <v>1</v>
      </c>
      <c r="P14" t="b">
        <f t="shared" si="1"/>
        <v>1</v>
      </c>
      <c r="Q14" t="b">
        <f t="shared" si="2"/>
        <v>1</v>
      </c>
      <c r="R14" t="b">
        <f t="shared" si="3"/>
        <v>1</v>
      </c>
      <c r="S14" t="s">
        <v>127</v>
      </c>
      <c r="T14">
        <v>0</v>
      </c>
      <c r="U14">
        <v>1</v>
      </c>
      <c r="V14">
        <v>1</v>
      </c>
      <c r="W14">
        <v>400113</v>
      </c>
      <c r="X14">
        <v>0</v>
      </c>
      <c r="Y14">
        <v>0</v>
      </c>
      <c r="Z14">
        <v>0</v>
      </c>
      <c r="AA14">
        <v>35000</v>
      </c>
      <c r="AB14">
        <v>0</v>
      </c>
      <c r="AC14">
        <v>0</v>
      </c>
      <c r="AD14">
        <v>0</v>
      </c>
      <c r="AE14" t="s">
        <v>76</v>
      </c>
    </row>
    <row r="15" spans="1:31">
      <c r="A15" t="s">
        <v>0</v>
      </c>
      <c r="B15">
        <v>0</v>
      </c>
      <c r="C15">
        <v>1</v>
      </c>
      <c r="D15">
        <v>1</v>
      </c>
      <c r="E15">
        <v>400114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76</v>
      </c>
      <c r="O15" t="b">
        <f t="shared" si="0"/>
        <v>1</v>
      </c>
      <c r="P15" t="b">
        <f t="shared" si="1"/>
        <v>1</v>
      </c>
      <c r="Q15" t="b">
        <f t="shared" si="2"/>
        <v>1</v>
      </c>
      <c r="R15" t="b">
        <f t="shared" si="3"/>
        <v>1</v>
      </c>
      <c r="S15" t="s">
        <v>127</v>
      </c>
      <c r="T15">
        <v>0</v>
      </c>
      <c r="U15">
        <v>1</v>
      </c>
      <c r="V15">
        <v>1</v>
      </c>
      <c r="W15">
        <v>400114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76</v>
      </c>
    </row>
    <row r="16" spans="1:31">
      <c r="A16" t="s">
        <v>0</v>
      </c>
      <c r="B16">
        <v>0</v>
      </c>
      <c r="C16">
        <v>1</v>
      </c>
      <c r="D16">
        <v>1</v>
      </c>
      <c r="E16">
        <v>400115</v>
      </c>
      <c r="F16">
        <v>260000</v>
      </c>
      <c r="G16">
        <v>0</v>
      </c>
      <c r="H16">
        <v>0</v>
      </c>
      <c r="I16">
        <v>0</v>
      </c>
      <c r="J16">
        <v>260000</v>
      </c>
      <c r="K16">
        <v>0</v>
      </c>
      <c r="L16">
        <v>0</v>
      </c>
      <c r="M16">
        <v>0</v>
      </c>
      <c r="N16" t="s">
        <v>76</v>
      </c>
      <c r="O16" t="b">
        <f t="shared" si="0"/>
        <v>1</v>
      </c>
      <c r="P16" t="b">
        <f t="shared" si="1"/>
        <v>1</v>
      </c>
      <c r="Q16" t="b">
        <f t="shared" si="2"/>
        <v>1</v>
      </c>
      <c r="R16" t="b">
        <f t="shared" si="3"/>
        <v>1</v>
      </c>
      <c r="S16" t="s">
        <v>127</v>
      </c>
      <c r="T16">
        <v>0</v>
      </c>
      <c r="U16">
        <v>1</v>
      </c>
      <c r="V16">
        <v>1</v>
      </c>
      <c r="W16">
        <v>400115</v>
      </c>
      <c r="X16">
        <v>0</v>
      </c>
      <c r="Y16">
        <v>0</v>
      </c>
      <c r="Z16">
        <v>0</v>
      </c>
      <c r="AA16">
        <v>260000</v>
      </c>
      <c r="AB16">
        <v>0</v>
      </c>
      <c r="AC16">
        <v>0</v>
      </c>
      <c r="AD16">
        <v>0</v>
      </c>
      <c r="AE16" t="s">
        <v>76</v>
      </c>
    </row>
    <row r="17" spans="1:31">
      <c r="A17" t="s">
        <v>0</v>
      </c>
      <c r="B17">
        <v>0</v>
      </c>
      <c r="C17">
        <v>1</v>
      </c>
      <c r="D17">
        <v>1</v>
      </c>
      <c r="E17">
        <v>400116</v>
      </c>
      <c r="F17">
        <v>51000</v>
      </c>
      <c r="G17">
        <v>0</v>
      </c>
      <c r="H17">
        <v>0</v>
      </c>
      <c r="I17">
        <v>0</v>
      </c>
      <c r="J17">
        <v>51000</v>
      </c>
      <c r="K17">
        <v>0</v>
      </c>
      <c r="L17">
        <v>0</v>
      </c>
      <c r="M17">
        <v>0</v>
      </c>
      <c r="N17" t="s">
        <v>76</v>
      </c>
      <c r="O17" t="b">
        <f t="shared" si="0"/>
        <v>1</v>
      </c>
      <c r="P17" t="b">
        <f t="shared" si="1"/>
        <v>1</v>
      </c>
      <c r="Q17" t="b">
        <f t="shared" si="2"/>
        <v>1</v>
      </c>
      <c r="R17" t="b">
        <f t="shared" si="3"/>
        <v>1</v>
      </c>
      <c r="S17" t="s">
        <v>127</v>
      </c>
      <c r="T17">
        <v>0</v>
      </c>
      <c r="U17">
        <v>1</v>
      </c>
      <c r="V17">
        <v>1</v>
      </c>
      <c r="W17">
        <v>400116</v>
      </c>
      <c r="X17">
        <v>0</v>
      </c>
      <c r="Y17">
        <v>0</v>
      </c>
      <c r="Z17">
        <v>0</v>
      </c>
      <c r="AA17">
        <v>51000</v>
      </c>
      <c r="AB17">
        <v>0</v>
      </c>
      <c r="AC17">
        <v>0</v>
      </c>
      <c r="AD17">
        <v>0</v>
      </c>
      <c r="AE17" t="s">
        <v>76</v>
      </c>
    </row>
    <row r="18" spans="1:31">
      <c r="A18" t="s">
        <v>0</v>
      </c>
      <c r="B18">
        <v>0</v>
      </c>
      <c r="C18">
        <v>1</v>
      </c>
      <c r="D18">
        <v>1</v>
      </c>
      <c r="E18">
        <v>400117</v>
      </c>
      <c r="F18">
        <v>52500</v>
      </c>
      <c r="G18">
        <v>0</v>
      </c>
      <c r="H18">
        <v>0</v>
      </c>
      <c r="I18">
        <v>0</v>
      </c>
      <c r="J18">
        <v>52500</v>
      </c>
      <c r="K18">
        <v>0</v>
      </c>
      <c r="L18">
        <v>0</v>
      </c>
      <c r="M18">
        <v>0</v>
      </c>
      <c r="N18" t="s">
        <v>76</v>
      </c>
      <c r="O18" t="b">
        <f t="shared" si="0"/>
        <v>1</v>
      </c>
      <c r="P18" t="b">
        <f t="shared" si="1"/>
        <v>1</v>
      </c>
      <c r="Q18" t="b">
        <f t="shared" si="2"/>
        <v>1</v>
      </c>
      <c r="R18" t="b">
        <f t="shared" si="3"/>
        <v>1</v>
      </c>
      <c r="S18" t="s">
        <v>127</v>
      </c>
      <c r="T18">
        <v>0</v>
      </c>
      <c r="U18">
        <v>1</v>
      </c>
      <c r="V18">
        <v>1</v>
      </c>
      <c r="W18">
        <v>400117</v>
      </c>
      <c r="X18">
        <v>0</v>
      </c>
      <c r="Y18">
        <v>0</v>
      </c>
      <c r="Z18">
        <v>0</v>
      </c>
      <c r="AA18">
        <v>52500</v>
      </c>
      <c r="AB18">
        <v>0</v>
      </c>
      <c r="AC18">
        <v>0</v>
      </c>
      <c r="AD18">
        <v>0</v>
      </c>
      <c r="AE18" t="s">
        <v>76</v>
      </c>
    </row>
    <row r="19" spans="1:31">
      <c r="A19" t="s">
        <v>0</v>
      </c>
      <c r="B19">
        <v>0</v>
      </c>
      <c r="C19">
        <v>1</v>
      </c>
      <c r="D19">
        <v>1</v>
      </c>
      <c r="E19">
        <v>400118</v>
      </c>
      <c r="F19">
        <v>10000</v>
      </c>
      <c r="G19">
        <v>0</v>
      </c>
      <c r="H19">
        <v>0</v>
      </c>
      <c r="I19">
        <v>0</v>
      </c>
      <c r="J19">
        <v>10000</v>
      </c>
      <c r="K19">
        <v>0</v>
      </c>
      <c r="L19">
        <v>0</v>
      </c>
      <c r="M19">
        <v>0</v>
      </c>
      <c r="N19" t="s">
        <v>76</v>
      </c>
      <c r="O19" t="b">
        <f t="shared" si="0"/>
        <v>1</v>
      </c>
      <c r="P19" t="b">
        <f t="shared" si="1"/>
        <v>1</v>
      </c>
      <c r="Q19" t="b">
        <f t="shared" si="2"/>
        <v>1</v>
      </c>
      <c r="R19" t="b">
        <f t="shared" si="3"/>
        <v>1</v>
      </c>
      <c r="S19" t="s">
        <v>127</v>
      </c>
      <c r="T19">
        <v>0</v>
      </c>
      <c r="U19">
        <v>1</v>
      </c>
      <c r="V19">
        <v>1</v>
      </c>
      <c r="W19">
        <v>400118</v>
      </c>
      <c r="X19">
        <v>0</v>
      </c>
      <c r="Y19">
        <v>0</v>
      </c>
      <c r="Z19">
        <v>0</v>
      </c>
      <c r="AA19">
        <v>10000</v>
      </c>
      <c r="AB19">
        <v>0</v>
      </c>
      <c r="AC19">
        <v>0</v>
      </c>
      <c r="AD19">
        <v>0</v>
      </c>
      <c r="AE19" t="s">
        <v>76</v>
      </c>
    </row>
    <row r="20" spans="1:31">
      <c r="A20" t="s">
        <v>0</v>
      </c>
      <c r="B20">
        <v>0</v>
      </c>
      <c r="C20">
        <v>1</v>
      </c>
      <c r="D20">
        <v>1</v>
      </c>
      <c r="E20">
        <v>400119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76</v>
      </c>
      <c r="O20" t="b">
        <f t="shared" si="0"/>
        <v>1</v>
      </c>
      <c r="P20" t="b">
        <f t="shared" si="1"/>
        <v>1</v>
      </c>
      <c r="Q20" t="b">
        <f t="shared" si="2"/>
        <v>1</v>
      </c>
      <c r="R20" t="b">
        <f t="shared" si="3"/>
        <v>1</v>
      </c>
      <c r="S20" t="s">
        <v>127</v>
      </c>
      <c r="T20">
        <v>0</v>
      </c>
      <c r="U20">
        <v>1</v>
      </c>
      <c r="V20">
        <v>1</v>
      </c>
      <c r="W20">
        <v>400119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76</v>
      </c>
    </row>
    <row r="21" spans="1:31">
      <c r="A21" t="s">
        <v>0</v>
      </c>
      <c r="B21">
        <v>0</v>
      </c>
      <c r="C21">
        <v>1</v>
      </c>
      <c r="D21">
        <v>1</v>
      </c>
      <c r="E21">
        <v>400120</v>
      </c>
      <c r="F21">
        <v>1250000</v>
      </c>
      <c r="G21">
        <v>0</v>
      </c>
      <c r="H21">
        <v>0</v>
      </c>
      <c r="I21">
        <v>0</v>
      </c>
      <c r="J21">
        <v>1250000</v>
      </c>
      <c r="K21">
        <v>0</v>
      </c>
      <c r="L21">
        <v>0</v>
      </c>
      <c r="M21">
        <v>0</v>
      </c>
      <c r="N21" t="s">
        <v>76</v>
      </c>
      <c r="O21" t="b">
        <f t="shared" si="0"/>
        <v>1</v>
      </c>
      <c r="P21" t="b">
        <f t="shared" si="1"/>
        <v>1</v>
      </c>
      <c r="Q21" t="b">
        <f t="shared" si="2"/>
        <v>1</v>
      </c>
      <c r="R21" t="b">
        <f t="shared" si="3"/>
        <v>1</v>
      </c>
      <c r="S21" t="s">
        <v>127</v>
      </c>
      <c r="T21">
        <v>0</v>
      </c>
      <c r="U21">
        <v>1</v>
      </c>
      <c r="V21">
        <v>1</v>
      </c>
      <c r="W21">
        <v>400120</v>
      </c>
      <c r="X21">
        <v>0</v>
      </c>
      <c r="Y21">
        <v>0</v>
      </c>
      <c r="Z21">
        <v>0</v>
      </c>
      <c r="AA21">
        <v>1250000</v>
      </c>
      <c r="AB21">
        <v>0</v>
      </c>
      <c r="AC21">
        <v>0</v>
      </c>
      <c r="AD21">
        <v>0</v>
      </c>
      <c r="AE21" t="s">
        <v>76</v>
      </c>
    </row>
    <row r="22" spans="1:31">
      <c r="A22" t="s">
        <v>0</v>
      </c>
      <c r="B22">
        <v>0</v>
      </c>
      <c r="C22">
        <v>1</v>
      </c>
      <c r="D22">
        <v>1</v>
      </c>
      <c r="E22">
        <v>400121</v>
      </c>
      <c r="F22">
        <v>60000</v>
      </c>
      <c r="G22">
        <v>0</v>
      </c>
      <c r="H22">
        <v>0</v>
      </c>
      <c r="I22">
        <v>0</v>
      </c>
      <c r="J22">
        <v>60000</v>
      </c>
      <c r="K22">
        <v>0</v>
      </c>
      <c r="L22">
        <v>0</v>
      </c>
      <c r="M22">
        <v>0</v>
      </c>
      <c r="N22" t="s">
        <v>76</v>
      </c>
      <c r="O22" t="b">
        <f t="shared" si="0"/>
        <v>1</v>
      </c>
      <c r="P22" t="b">
        <f t="shared" si="1"/>
        <v>1</v>
      </c>
      <c r="Q22" t="b">
        <f t="shared" si="2"/>
        <v>1</v>
      </c>
      <c r="R22" t="b">
        <f t="shared" si="3"/>
        <v>1</v>
      </c>
      <c r="S22" t="s">
        <v>127</v>
      </c>
      <c r="T22">
        <v>0</v>
      </c>
      <c r="U22">
        <v>1</v>
      </c>
      <c r="V22">
        <v>1</v>
      </c>
      <c r="W22">
        <v>400121</v>
      </c>
      <c r="X22">
        <v>0</v>
      </c>
      <c r="Y22">
        <v>0</v>
      </c>
      <c r="Z22">
        <v>0</v>
      </c>
      <c r="AA22">
        <v>60000</v>
      </c>
      <c r="AB22">
        <v>0</v>
      </c>
      <c r="AC22">
        <v>0</v>
      </c>
      <c r="AD22">
        <v>0</v>
      </c>
      <c r="AE22" t="s">
        <v>76</v>
      </c>
    </row>
    <row r="23" spans="1:31">
      <c r="A23" t="s">
        <v>0</v>
      </c>
      <c r="B23">
        <v>0</v>
      </c>
      <c r="C23">
        <v>1</v>
      </c>
      <c r="D23">
        <v>1</v>
      </c>
      <c r="E23">
        <v>400122</v>
      </c>
      <c r="F23">
        <v>255000</v>
      </c>
      <c r="G23">
        <v>0</v>
      </c>
      <c r="H23">
        <v>0</v>
      </c>
      <c r="I23">
        <v>0</v>
      </c>
      <c r="J23">
        <v>255000</v>
      </c>
      <c r="K23">
        <v>0</v>
      </c>
      <c r="L23">
        <v>0</v>
      </c>
      <c r="M23">
        <v>0</v>
      </c>
      <c r="N23" t="s">
        <v>76</v>
      </c>
      <c r="O23" t="b">
        <f t="shared" si="0"/>
        <v>1</v>
      </c>
      <c r="P23" t="b">
        <f t="shared" si="1"/>
        <v>1</v>
      </c>
      <c r="Q23" t="b">
        <f t="shared" si="2"/>
        <v>1</v>
      </c>
      <c r="R23" t="b">
        <f t="shared" si="3"/>
        <v>1</v>
      </c>
      <c r="S23" t="s">
        <v>127</v>
      </c>
      <c r="T23">
        <v>0</v>
      </c>
      <c r="U23">
        <v>1</v>
      </c>
      <c r="V23">
        <v>1</v>
      </c>
      <c r="W23">
        <v>400122</v>
      </c>
      <c r="X23">
        <v>0</v>
      </c>
      <c r="Y23">
        <v>0</v>
      </c>
      <c r="Z23">
        <v>0</v>
      </c>
      <c r="AA23">
        <v>255000</v>
      </c>
      <c r="AB23">
        <v>0</v>
      </c>
      <c r="AC23">
        <v>0</v>
      </c>
      <c r="AD23">
        <v>0</v>
      </c>
      <c r="AE23" t="s">
        <v>76</v>
      </c>
    </row>
    <row r="24" spans="1:31">
      <c r="A24" t="s">
        <v>0</v>
      </c>
      <c r="B24">
        <v>0</v>
      </c>
      <c r="C24">
        <v>1</v>
      </c>
      <c r="D24">
        <v>1</v>
      </c>
      <c r="E24">
        <v>400123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76</v>
      </c>
      <c r="O24" t="b">
        <f t="shared" si="0"/>
        <v>1</v>
      </c>
      <c r="P24" t="b">
        <f t="shared" si="1"/>
        <v>1</v>
      </c>
      <c r="Q24" t="b">
        <f t="shared" si="2"/>
        <v>1</v>
      </c>
      <c r="R24" t="b">
        <f t="shared" si="3"/>
        <v>1</v>
      </c>
      <c r="S24" t="s">
        <v>127</v>
      </c>
      <c r="T24">
        <v>0</v>
      </c>
      <c r="U24">
        <v>1</v>
      </c>
      <c r="V24">
        <v>1</v>
      </c>
      <c r="W24">
        <v>400123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76</v>
      </c>
    </row>
    <row r="25" spans="1:31">
      <c r="A25" t="s">
        <v>0</v>
      </c>
      <c r="B25">
        <v>0</v>
      </c>
      <c r="C25">
        <v>1</v>
      </c>
      <c r="D25">
        <v>1</v>
      </c>
      <c r="E25">
        <v>400124</v>
      </c>
      <c r="F25">
        <v>110000</v>
      </c>
      <c r="G25">
        <v>0</v>
      </c>
      <c r="H25">
        <v>0</v>
      </c>
      <c r="I25">
        <v>0</v>
      </c>
      <c r="J25">
        <v>110000</v>
      </c>
      <c r="K25">
        <v>0</v>
      </c>
      <c r="L25">
        <v>0</v>
      </c>
      <c r="M25">
        <v>0</v>
      </c>
      <c r="N25" t="s">
        <v>76</v>
      </c>
      <c r="O25" t="b">
        <f t="shared" si="0"/>
        <v>1</v>
      </c>
      <c r="P25" t="b">
        <f t="shared" si="1"/>
        <v>1</v>
      </c>
      <c r="Q25" t="b">
        <f t="shared" si="2"/>
        <v>1</v>
      </c>
      <c r="R25" t="b">
        <f t="shared" si="3"/>
        <v>1</v>
      </c>
      <c r="S25" t="s">
        <v>127</v>
      </c>
      <c r="T25">
        <v>0</v>
      </c>
      <c r="U25">
        <v>1</v>
      </c>
      <c r="V25">
        <v>1</v>
      </c>
      <c r="W25">
        <v>400124</v>
      </c>
      <c r="X25">
        <v>0</v>
      </c>
      <c r="Y25">
        <v>0</v>
      </c>
      <c r="Z25">
        <v>0</v>
      </c>
      <c r="AA25">
        <v>110000</v>
      </c>
      <c r="AB25">
        <v>0</v>
      </c>
      <c r="AC25">
        <v>0</v>
      </c>
      <c r="AD25">
        <v>0</v>
      </c>
      <c r="AE25" t="s">
        <v>76</v>
      </c>
    </row>
    <row r="26" spans="1:31">
      <c r="A26" t="s">
        <v>0</v>
      </c>
      <c r="B26">
        <v>0</v>
      </c>
      <c r="C26">
        <v>1</v>
      </c>
      <c r="D26">
        <v>1</v>
      </c>
      <c r="E26">
        <v>400125</v>
      </c>
      <c r="F26">
        <v>52500</v>
      </c>
      <c r="G26">
        <v>0</v>
      </c>
      <c r="H26">
        <v>0</v>
      </c>
      <c r="I26">
        <v>0</v>
      </c>
      <c r="J26">
        <v>52500</v>
      </c>
      <c r="K26">
        <v>0</v>
      </c>
      <c r="L26">
        <v>0</v>
      </c>
      <c r="M26">
        <v>0</v>
      </c>
      <c r="N26" t="s">
        <v>76</v>
      </c>
      <c r="O26" t="b">
        <f t="shared" si="0"/>
        <v>1</v>
      </c>
      <c r="P26" t="b">
        <f t="shared" si="1"/>
        <v>1</v>
      </c>
      <c r="Q26" t="b">
        <f t="shared" si="2"/>
        <v>1</v>
      </c>
      <c r="R26" t="b">
        <f t="shared" si="3"/>
        <v>1</v>
      </c>
      <c r="S26" t="s">
        <v>127</v>
      </c>
      <c r="T26">
        <v>0</v>
      </c>
      <c r="U26">
        <v>1</v>
      </c>
      <c r="V26">
        <v>1</v>
      </c>
      <c r="W26">
        <v>400125</v>
      </c>
      <c r="X26">
        <v>0</v>
      </c>
      <c r="Y26">
        <v>0</v>
      </c>
      <c r="Z26">
        <v>0</v>
      </c>
      <c r="AA26">
        <v>52500</v>
      </c>
      <c r="AB26">
        <v>0</v>
      </c>
      <c r="AC26">
        <v>0</v>
      </c>
      <c r="AD26">
        <v>0</v>
      </c>
      <c r="AE26" t="s">
        <v>76</v>
      </c>
    </row>
    <row r="27" spans="1:31">
      <c r="A27" t="s">
        <v>0</v>
      </c>
      <c r="B27">
        <v>0</v>
      </c>
      <c r="C27">
        <v>1</v>
      </c>
      <c r="D27">
        <v>1</v>
      </c>
      <c r="E27">
        <v>400126</v>
      </c>
      <c r="F27">
        <v>60000</v>
      </c>
      <c r="G27">
        <v>0</v>
      </c>
      <c r="H27">
        <v>0</v>
      </c>
      <c r="I27">
        <v>0</v>
      </c>
      <c r="J27">
        <v>60000</v>
      </c>
      <c r="K27">
        <v>0</v>
      </c>
      <c r="L27">
        <v>0</v>
      </c>
      <c r="M27">
        <v>0</v>
      </c>
      <c r="N27" t="s">
        <v>76</v>
      </c>
      <c r="O27" t="b">
        <f t="shared" si="0"/>
        <v>1</v>
      </c>
      <c r="P27" t="b">
        <f t="shared" si="1"/>
        <v>1</v>
      </c>
      <c r="Q27" t="b">
        <f t="shared" si="2"/>
        <v>1</v>
      </c>
      <c r="R27" t="b">
        <f t="shared" si="3"/>
        <v>1</v>
      </c>
      <c r="S27" t="s">
        <v>127</v>
      </c>
      <c r="T27">
        <v>0</v>
      </c>
      <c r="U27">
        <v>1</v>
      </c>
      <c r="V27">
        <v>1</v>
      </c>
      <c r="W27">
        <v>400126</v>
      </c>
      <c r="X27">
        <v>0</v>
      </c>
      <c r="Y27">
        <v>0</v>
      </c>
      <c r="Z27">
        <v>0</v>
      </c>
      <c r="AA27">
        <v>60000</v>
      </c>
      <c r="AB27">
        <v>0</v>
      </c>
      <c r="AC27">
        <v>0</v>
      </c>
      <c r="AD27">
        <v>0</v>
      </c>
      <c r="AE27" t="s">
        <v>76</v>
      </c>
    </row>
    <row r="28" spans="1:31">
      <c r="A28" t="s">
        <v>0</v>
      </c>
      <c r="B28">
        <v>0</v>
      </c>
      <c r="C28">
        <v>1</v>
      </c>
      <c r="D28">
        <v>1</v>
      </c>
      <c r="E28">
        <v>400127</v>
      </c>
      <c r="F28">
        <v>2000000</v>
      </c>
      <c r="G28">
        <v>1322</v>
      </c>
      <c r="H28">
        <v>0</v>
      </c>
      <c r="I28">
        <v>0</v>
      </c>
      <c r="J28">
        <v>2000000</v>
      </c>
      <c r="K28">
        <v>1322</v>
      </c>
      <c r="L28">
        <v>3.4000000000000002E-2</v>
      </c>
      <c r="M28">
        <v>-0.25</v>
      </c>
      <c r="N28" t="s">
        <v>76</v>
      </c>
      <c r="O28" t="b">
        <f t="shared" si="0"/>
        <v>1</v>
      </c>
      <c r="P28" t="b">
        <f t="shared" si="1"/>
        <v>0</v>
      </c>
      <c r="Q28" t="b">
        <f t="shared" si="2"/>
        <v>1</v>
      </c>
      <c r="R28" t="b">
        <f t="shared" si="3"/>
        <v>0</v>
      </c>
      <c r="S28" t="s">
        <v>127</v>
      </c>
      <c r="T28">
        <v>0</v>
      </c>
      <c r="U28">
        <v>1</v>
      </c>
      <c r="V28">
        <v>1</v>
      </c>
      <c r="W28">
        <v>400127</v>
      </c>
      <c r="X28">
        <v>0</v>
      </c>
      <c r="Y28">
        <v>0</v>
      </c>
      <c r="Z28">
        <v>0</v>
      </c>
      <c r="AA28">
        <v>1000000</v>
      </c>
      <c r="AB28">
        <v>2268</v>
      </c>
      <c r="AC28">
        <v>5.3999999999999999E-2</v>
      </c>
      <c r="AD28">
        <v>-0.25</v>
      </c>
      <c r="AE28" t="s">
        <v>76</v>
      </c>
    </row>
    <row r="29" spans="1:31">
      <c r="A29" t="s">
        <v>0</v>
      </c>
      <c r="B29">
        <v>0</v>
      </c>
      <c r="C29">
        <v>1</v>
      </c>
      <c r="D29">
        <v>1</v>
      </c>
      <c r="E29">
        <v>400128</v>
      </c>
      <c r="F29">
        <v>10000</v>
      </c>
      <c r="G29">
        <v>0</v>
      </c>
      <c r="H29">
        <v>0</v>
      </c>
      <c r="I29">
        <v>0</v>
      </c>
      <c r="J29">
        <v>10000</v>
      </c>
      <c r="K29">
        <v>0</v>
      </c>
      <c r="L29">
        <v>0</v>
      </c>
      <c r="M29">
        <v>0</v>
      </c>
      <c r="N29" t="s">
        <v>76</v>
      </c>
      <c r="O29" t="b">
        <f t="shared" si="0"/>
        <v>1</v>
      </c>
      <c r="P29" t="b">
        <f t="shared" si="1"/>
        <v>1</v>
      </c>
      <c r="Q29" t="b">
        <f t="shared" si="2"/>
        <v>1</v>
      </c>
      <c r="R29" t="b">
        <f t="shared" si="3"/>
        <v>0</v>
      </c>
      <c r="S29" t="s">
        <v>127</v>
      </c>
      <c r="T29">
        <v>0</v>
      </c>
      <c r="U29">
        <v>1</v>
      </c>
      <c r="V29">
        <v>1</v>
      </c>
      <c r="W29">
        <v>400128</v>
      </c>
      <c r="X29">
        <v>0</v>
      </c>
      <c r="Y29">
        <v>0</v>
      </c>
      <c r="Z29">
        <v>0</v>
      </c>
      <c r="AA29">
        <v>10000</v>
      </c>
      <c r="AB29">
        <v>84</v>
      </c>
      <c r="AC29">
        <v>2E-3</v>
      </c>
      <c r="AD29">
        <v>-0.25</v>
      </c>
      <c r="AE29" t="s">
        <v>76</v>
      </c>
    </row>
    <row r="30" spans="1:31">
      <c r="A30" t="s">
        <v>0</v>
      </c>
      <c r="B30">
        <v>0</v>
      </c>
      <c r="C30">
        <v>1</v>
      </c>
      <c r="D30">
        <v>1</v>
      </c>
      <c r="E30">
        <v>400129</v>
      </c>
      <c r="F30">
        <v>4000000</v>
      </c>
      <c r="G30">
        <v>0</v>
      </c>
      <c r="H30">
        <v>0</v>
      </c>
      <c r="I30">
        <v>0</v>
      </c>
      <c r="J30">
        <v>4000000</v>
      </c>
      <c r="K30">
        <v>0</v>
      </c>
      <c r="L30">
        <v>0</v>
      </c>
      <c r="M30">
        <v>0</v>
      </c>
      <c r="N30" t="s">
        <v>76</v>
      </c>
      <c r="O30" t="b">
        <f t="shared" si="0"/>
        <v>1</v>
      </c>
      <c r="P30" t="b">
        <f t="shared" si="1"/>
        <v>0</v>
      </c>
      <c r="Q30" t="b">
        <f t="shared" si="2"/>
        <v>1</v>
      </c>
      <c r="R30" t="b">
        <f t="shared" si="3"/>
        <v>1</v>
      </c>
      <c r="S30" t="s">
        <v>127</v>
      </c>
      <c r="T30">
        <v>0</v>
      </c>
      <c r="U30">
        <v>1</v>
      </c>
      <c r="V30">
        <v>1</v>
      </c>
      <c r="W30">
        <v>400129</v>
      </c>
      <c r="X30">
        <v>0</v>
      </c>
      <c r="Y30">
        <v>0</v>
      </c>
      <c r="Z30">
        <v>0</v>
      </c>
      <c r="AA30">
        <v>2000000</v>
      </c>
      <c r="AB30">
        <v>0</v>
      </c>
      <c r="AC30">
        <v>0</v>
      </c>
      <c r="AD30">
        <v>0</v>
      </c>
      <c r="AE30" t="s">
        <v>76</v>
      </c>
    </row>
    <row r="31" spans="1:31">
      <c r="A31" t="s">
        <v>0</v>
      </c>
      <c r="B31">
        <v>0</v>
      </c>
      <c r="C31">
        <v>1</v>
      </c>
      <c r="D31">
        <v>1</v>
      </c>
      <c r="E31">
        <v>400130</v>
      </c>
      <c r="F31">
        <v>350000</v>
      </c>
      <c r="G31">
        <v>0</v>
      </c>
      <c r="H31">
        <v>0</v>
      </c>
      <c r="I31">
        <v>0</v>
      </c>
      <c r="J31">
        <v>350000</v>
      </c>
      <c r="K31">
        <v>0</v>
      </c>
      <c r="L31">
        <v>0</v>
      </c>
      <c r="M31">
        <v>0</v>
      </c>
      <c r="N31" t="s">
        <v>76</v>
      </c>
      <c r="O31" t="b">
        <f t="shared" si="0"/>
        <v>1</v>
      </c>
      <c r="P31" t="b">
        <f t="shared" si="1"/>
        <v>1</v>
      </c>
      <c r="Q31" t="b">
        <f t="shared" si="2"/>
        <v>1</v>
      </c>
      <c r="R31" t="b">
        <f t="shared" si="3"/>
        <v>1</v>
      </c>
      <c r="S31" t="s">
        <v>127</v>
      </c>
      <c r="T31">
        <v>0</v>
      </c>
      <c r="U31">
        <v>1</v>
      </c>
      <c r="V31">
        <v>1</v>
      </c>
      <c r="W31">
        <v>400130</v>
      </c>
      <c r="X31">
        <v>0</v>
      </c>
      <c r="Y31">
        <v>0</v>
      </c>
      <c r="Z31">
        <v>0</v>
      </c>
      <c r="AA31">
        <v>350000</v>
      </c>
      <c r="AB31">
        <v>0</v>
      </c>
      <c r="AC31">
        <v>0</v>
      </c>
      <c r="AD31">
        <v>0</v>
      </c>
      <c r="AE31" t="s">
        <v>76</v>
      </c>
    </row>
    <row r="32" spans="1:31">
      <c r="A32" t="s">
        <v>0</v>
      </c>
      <c r="B32">
        <v>0</v>
      </c>
      <c r="C32">
        <v>1</v>
      </c>
      <c r="D32">
        <v>1</v>
      </c>
      <c r="E32">
        <v>400133</v>
      </c>
      <c r="F32">
        <v>255000</v>
      </c>
      <c r="G32">
        <v>0</v>
      </c>
      <c r="H32">
        <v>0</v>
      </c>
      <c r="I32">
        <v>0</v>
      </c>
      <c r="J32">
        <v>255000</v>
      </c>
      <c r="K32">
        <v>0</v>
      </c>
      <c r="L32">
        <v>0</v>
      </c>
      <c r="M32">
        <v>0</v>
      </c>
      <c r="N32" t="s">
        <v>76</v>
      </c>
      <c r="O32" t="b">
        <f t="shared" si="0"/>
        <v>1</v>
      </c>
      <c r="P32" t="b">
        <f t="shared" si="1"/>
        <v>1</v>
      </c>
      <c r="Q32" t="b">
        <f t="shared" si="2"/>
        <v>1</v>
      </c>
      <c r="R32" t="b">
        <f t="shared" si="3"/>
        <v>1</v>
      </c>
      <c r="S32" t="s">
        <v>127</v>
      </c>
      <c r="T32">
        <v>0</v>
      </c>
      <c r="U32">
        <v>1</v>
      </c>
      <c r="V32">
        <v>1</v>
      </c>
      <c r="W32">
        <v>400133</v>
      </c>
      <c r="X32">
        <v>0</v>
      </c>
      <c r="Y32">
        <v>0</v>
      </c>
      <c r="Z32">
        <v>0</v>
      </c>
      <c r="AA32">
        <v>255000</v>
      </c>
      <c r="AB32">
        <v>0</v>
      </c>
      <c r="AC32">
        <v>0</v>
      </c>
      <c r="AD32">
        <v>0</v>
      </c>
      <c r="AE32" t="s">
        <v>76</v>
      </c>
    </row>
    <row r="33" spans="1:31">
      <c r="A33" t="s">
        <v>0</v>
      </c>
      <c r="B33">
        <v>0</v>
      </c>
      <c r="C33">
        <v>1</v>
      </c>
      <c r="D33">
        <v>1</v>
      </c>
      <c r="E33">
        <v>400136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123</v>
      </c>
      <c r="O33" t="b">
        <f t="shared" si="0"/>
        <v>1</v>
      </c>
      <c r="P33" t="b">
        <f t="shared" si="1"/>
        <v>1</v>
      </c>
      <c r="Q33" t="b">
        <f t="shared" si="2"/>
        <v>1</v>
      </c>
      <c r="R33" t="b">
        <f t="shared" si="3"/>
        <v>1</v>
      </c>
      <c r="S33" t="s">
        <v>127</v>
      </c>
      <c r="T33">
        <v>0</v>
      </c>
      <c r="U33">
        <v>1</v>
      </c>
      <c r="V33">
        <v>1</v>
      </c>
      <c r="W33">
        <v>400136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123</v>
      </c>
    </row>
    <row r="34" spans="1:31">
      <c r="A34" t="s">
        <v>0</v>
      </c>
      <c r="B34">
        <v>0</v>
      </c>
      <c r="C34">
        <v>1</v>
      </c>
      <c r="D34">
        <v>1</v>
      </c>
      <c r="E34">
        <v>400150</v>
      </c>
      <c r="F34">
        <v>3898000</v>
      </c>
      <c r="G34">
        <v>198</v>
      </c>
      <c r="H34">
        <v>0</v>
      </c>
      <c r="I34">
        <v>0</v>
      </c>
      <c r="J34">
        <v>3898000</v>
      </c>
      <c r="K34">
        <v>198</v>
      </c>
      <c r="L34">
        <v>3.6499999999999998E-2</v>
      </c>
      <c r="M34">
        <v>0</v>
      </c>
      <c r="N34" t="s">
        <v>76</v>
      </c>
      <c r="O34" t="b">
        <f t="shared" si="0"/>
        <v>1</v>
      </c>
      <c r="P34" t="b">
        <f t="shared" si="1"/>
        <v>0</v>
      </c>
      <c r="Q34" t="b">
        <f t="shared" si="2"/>
        <v>1</v>
      </c>
      <c r="R34" t="b">
        <f t="shared" si="3"/>
        <v>0</v>
      </c>
      <c r="S34" t="s">
        <v>127</v>
      </c>
      <c r="T34">
        <v>0</v>
      </c>
      <c r="U34">
        <v>1</v>
      </c>
      <c r="V34">
        <v>1</v>
      </c>
      <c r="W34">
        <v>400150</v>
      </c>
      <c r="X34">
        <v>0</v>
      </c>
      <c r="Y34">
        <v>0</v>
      </c>
      <c r="Z34">
        <v>0</v>
      </c>
      <c r="AA34">
        <v>4209040</v>
      </c>
      <c r="AB34">
        <v>303</v>
      </c>
      <c r="AC34">
        <v>3.6499999999999998E-2</v>
      </c>
      <c r="AD34">
        <v>0</v>
      </c>
      <c r="AE34" t="s">
        <v>76</v>
      </c>
    </row>
    <row r="35" spans="1:31">
      <c r="A35" t="s">
        <v>0</v>
      </c>
      <c r="B35">
        <v>0</v>
      </c>
      <c r="C35">
        <v>1</v>
      </c>
      <c r="D35">
        <v>1</v>
      </c>
      <c r="E35">
        <v>400151</v>
      </c>
      <c r="F35">
        <v>4000000</v>
      </c>
      <c r="G35">
        <v>0</v>
      </c>
      <c r="H35">
        <v>0</v>
      </c>
      <c r="I35">
        <v>0</v>
      </c>
      <c r="J35">
        <v>4000000</v>
      </c>
      <c r="K35">
        <v>0</v>
      </c>
      <c r="L35">
        <v>0</v>
      </c>
      <c r="M35">
        <v>0</v>
      </c>
      <c r="N35" t="s">
        <v>76</v>
      </c>
      <c r="O35" t="b">
        <f t="shared" si="0"/>
        <v>1</v>
      </c>
      <c r="P35" t="b">
        <f t="shared" si="1"/>
        <v>0</v>
      </c>
      <c r="Q35" t="b">
        <f t="shared" si="2"/>
        <v>1</v>
      </c>
      <c r="R35" t="b">
        <f t="shared" si="3"/>
        <v>1</v>
      </c>
      <c r="S35" t="s">
        <v>127</v>
      </c>
      <c r="T35">
        <v>0</v>
      </c>
      <c r="U35">
        <v>1</v>
      </c>
      <c r="V35">
        <v>1</v>
      </c>
      <c r="W35">
        <v>400151</v>
      </c>
      <c r="X35">
        <v>0</v>
      </c>
      <c r="Y35">
        <v>0</v>
      </c>
      <c r="Z35">
        <v>0</v>
      </c>
      <c r="AA35">
        <v>2000000</v>
      </c>
      <c r="AB35">
        <v>0</v>
      </c>
      <c r="AC35">
        <v>0</v>
      </c>
      <c r="AD35">
        <v>0</v>
      </c>
      <c r="AE35" t="s">
        <v>76</v>
      </c>
    </row>
    <row r="36" spans="1:31">
      <c r="A36" t="s">
        <v>0</v>
      </c>
      <c r="B36">
        <v>0</v>
      </c>
      <c r="C36">
        <v>1</v>
      </c>
      <c r="D36">
        <v>1</v>
      </c>
      <c r="E36">
        <v>400153</v>
      </c>
      <c r="F36">
        <v>15000</v>
      </c>
      <c r="G36">
        <v>0</v>
      </c>
      <c r="H36">
        <v>0</v>
      </c>
      <c r="I36">
        <v>0</v>
      </c>
      <c r="J36">
        <v>15000</v>
      </c>
      <c r="K36">
        <v>0</v>
      </c>
      <c r="L36">
        <v>0</v>
      </c>
      <c r="M36">
        <v>0</v>
      </c>
      <c r="N36" t="s">
        <v>76</v>
      </c>
      <c r="O36" t="b">
        <f t="shared" si="0"/>
        <v>1</v>
      </c>
      <c r="P36" t="b">
        <f t="shared" si="1"/>
        <v>1</v>
      </c>
      <c r="Q36" t="b">
        <f t="shared" si="2"/>
        <v>1</v>
      </c>
      <c r="R36" t="b">
        <f t="shared" si="3"/>
        <v>1</v>
      </c>
      <c r="S36" t="s">
        <v>127</v>
      </c>
      <c r="T36">
        <v>0</v>
      </c>
      <c r="U36">
        <v>1</v>
      </c>
      <c r="V36">
        <v>1</v>
      </c>
      <c r="W36">
        <v>400153</v>
      </c>
      <c r="X36">
        <v>0</v>
      </c>
      <c r="Y36">
        <v>0</v>
      </c>
      <c r="Z36">
        <v>0</v>
      </c>
      <c r="AA36">
        <v>15000</v>
      </c>
      <c r="AB36">
        <v>0</v>
      </c>
      <c r="AC36">
        <v>0</v>
      </c>
      <c r="AD36">
        <v>0</v>
      </c>
      <c r="AE36" t="s">
        <v>76</v>
      </c>
    </row>
    <row r="37" spans="1:31">
      <c r="A37" t="s">
        <v>0</v>
      </c>
      <c r="B37">
        <v>0</v>
      </c>
      <c r="C37">
        <v>1</v>
      </c>
      <c r="D37">
        <v>1</v>
      </c>
      <c r="E37">
        <v>400154</v>
      </c>
      <c r="F37">
        <v>15000</v>
      </c>
      <c r="G37">
        <v>0</v>
      </c>
      <c r="H37">
        <v>0</v>
      </c>
      <c r="I37">
        <v>0</v>
      </c>
      <c r="J37">
        <v>15000</v>
      </c>
      <c r="K37">
        <v>0</v>
      </c>
      <c r="L37">
        <v>0</v>
      </c>
      <c r="M37">
        <v>0</v>
      </c>
      <c r="N37" t="s">
        <v>76</v>
      </c>
      <c r="O37" t="b">
        <f t="shared" si="0"/>
        <v>1</v>
      </c>
      <c r="P37" t="b">
        <f t="shared" si="1"/>
        <v>1</v>
      </c>
      <c r="Q37" t="b">
        <f t="shared" si="2"/>
        <v>1</v>
      </c>
      <c r="R37" t="b">
        <f t="shared" si="3"/>
        <v>1</v>
      </c>
      <c r="S37" t="s">
        <v>127</v>
      </c>
      <c r="T37">
        <v>0</v>
      </c>
      <c r="U37">
        <v>1</v>
      </c>
      <c r="V37">
        <v>1</v>
      </c>
      <c r="W37">
        <v>400154</v>
      </c>
      <c r="X37">
        <v>0</v>
      </c>
      <c r="Y37">
        <v>0</v>
      </c>
      <c r="Z37">
        <v>0</v>
      </c>
      <c r="AA37">
        <v>15000</v>
      </c>
      <c r="AB37">
        <v>0</v>
      </c>
      <c r="AC37">
        <v>0</v>
      </c>
      <c r="AD37">
        <v>0</v>
      </c>
      <c r="AE37" t="s">
        <v>76</v>
      </c>
    </row>
    <row r="38" spans="1:31">
      <c r="A38" t="s">
        <v>0</v>
      </c>
      <c r="B38">
        <v>0</v>
      </c>
      <c r="C38">
        <v>1</v>
      </c>
      <c r="D38">
        <v>1</v>
      </c>
      <c r="E38">
        <v>400178</v>
      </c>
      <c r="F38">
        <v>50000</v>
      </c>
      <c r="G38">
        <v>0</v>
      </c>
      <c r="H38">
        <v>0</v>
      </c>
      <c r="I38">
        <v>0</v>
      </c>
      <c r="J38">
        <v>50000</v>
      </c>
      <c r="K38">
        <v>0</v>
      </c>
      <c r="L38">
        <v>0</v>
      </c>
      <c r="M38">
        <v>0</v>
      </c>
      <c r="N38" t="s">
        <v>76</v>
      </c>
      <c r="O38" t="b">
        <f t="shared" si="0"/>
        <v>1</v>
      </c>
      <c r="P38" t="b">
        <f t="shared" si="1"/>
        <v>1</v>
      </c>
      <c r="Q38" t="b">
        <f t="shared" si="2"/>
        <v>1</v>
      </c>
      <c r="R38" t="b">
        <f t="shared" si="3"/>
        <v>1</v>
      </c>
      <c r="S38" t="s">
        <v>127</v>
      </c>
      <c r="T38">
        <v>0</v>
      </c>
      <c r="U38">
        <v>1</v>
      </c>
      <c r="V38">
        <v>1</v>
      </c>
      <c r="W38">
        <v>400178</v>
      </c>
      <c r="X38">
        <v>0</v>
      </c>
      <c r="Y38">
        <v>0</v>
      </c>
      <c r="Z38">
        <v>0</v>
      </c>
      <c r="AA38">
        <v>50000</v>
      </c>
      <c r="AB38">
        <v>0</v>
      </c>
      <c r="AC38">
        <v>0</v>
      </c>
      <c r="AD38">
        <v>0</v>
      </c>
      <c r="AE38" t="s">
        <v>76</v>
      </c>
    </row>
    <row r="39" spans="1:31">
      <c r="A39" t="s">
        <v>0</v>
      </c>
      <c r="B39">
        <v>0</v>
      </c>
      <c r="C39">
        <v>1</v>
      </c>
      <c r="D39">
        <v>1</v>
      </c>
      <c r="E39">
        <v>400191</v>
      </c>
      <c r="F39">
        <v>275000</v>
      </c>
      <c r="G39">
        <v>0</v>
      </c>
      <c r="H39">
        <v>0</v>
      </c>
      <c r="I39">
        <v>0</v>
      </c>
      <c r="J39">
        <v>275000</v>
      </c>
      <c r="K39">
        <v>0</v>
      </c>
      <c r="L39">
        <v>0</v>
      </c>
      <c r="M39">
        <v>0</v>
      </c>
      <c r="N39" t="s">
        <v>76</v>
      </c>
      <c r="O39" t="b">
        <f t="shared" si="0"/>
        <v>1</v>
      </c>
      <c r="P39" t="b">
        <f t="shared" si="1"/>
        <v>1</v>
      </c>
      <c r="Q39" t="b">
        <f t="shared" si="2"/>
        <v>1</v>
      </c>
      <c r="R39" t="b">
        <f t="shared" si="3"/>
        <v>1</v>
      </c>
      <c r="S39" t="s">
        <v>127</v>
      </c>
      <c r="T39">
        <v>0</v>
      </c>
      <c r="U39">
        <v>1</v>
      </c>
      <c r="V39">
        <v>1</v>
      </c>
      <c r="W39">
        <v>400191</v>
      </c>
      <c r="X39">
        <v>0</v>
      </c>
      <c r="Y39">
        <v>0</v>
      </c>
      <c r="Z39">
        <v>0</v>
      </c>
      <c r="AA39">
        <v>275000</v>
      </c>
      <c r="AB39">
        <v>0</v>
      </c>
      <c r="AC39">
        <v>0</v>
      </c>
      <c r="AD39">
        <v>0</v>
      </c>
      <c r="AE39" t="s">
        <v>76</v>
      </c>
    </row>
    <row r="40" spans="1:31">
      <c r="A40" t="s">
        <v>0</v>
      </c>
      <c r="B40">
        <v>0</v>
      </c>
      <c r="C40">
        <v>1</v>
      </c>
      <c r="D40">
        <v>1</v>
      </c>
      <c r="E40">
        <v>400197</v>
      </c>
      <c r="F40">
        <v>75000</v>
      </c>
      <c r="G40">
        <v>142</v>
      </c>
      <c r="H40">
        <v>0</v>
      </c>
      <c r="I40">
        <v>0</v>
      </c>
      <c r="J40">
        <v>75000</v>
      </c>
      <c r="K40">
        <v>142</v>
      </c>
      <c r="L40">
        <v>0</v>
      </c>
      <c r="M40">
        <v>-0.25</v>
      </c>
      <c r="N40" t="s">
        <v>76</v>
      </c>
      <c r="O40" t="b">
        <f t="shared" si="0"/>
        <v>1</v>
      </c>
      <c r="P40" t="b">
        <f t="shared" si="1"/>
        <v>1</v>
      </c>
      <c r="Q40" t="b">
        <f t="shared" si="2"/>
        <v>1</v>
      </c>
      <c r="R40" t="b">
        <f t="shared" si="3"/>
        <v>1</v>
      </c>
      <c r="S40" t="s">
        <v>127</v>
      </c>
      <c r="T40">
        <v>0</v>
      </c>
      <c r="U40">
        <v>1</v>
      </c>
      <c r="V40">
        <v>1</v>
      </c>
      <c r="W40">
        <v>400197</v>
      </c>
      <c r="X40">
        <v>0</v>
      </c>
      <c r="Y40">
        <v>0</v>
      </c>
      <c r="Z40">
        <v>0</v>
      </c>
      <c r="AA40">
        <v>75000</v>
      </c>
      <c r="AB40">
        <v>142</v>
      </c>
      <c r="AC40">
        <v>0</v>
      </c>
      <c r="AD40">
        <v>-0.25</v>
      </c>
      <c r="AE40" t="s">
        <v>76</v>
      </c>
    </row>
    <row r="41" spans="1:31">
      <c r="A41" t="s">
        <v>0</v>
      </c>
      <c r="B41">
        <v>0</v>
      </c>
      <c r="C41">
        <v>1</v>
      </c>
      <c r="D41">
        <v>1</v>
      </c>
      <c r="E41">
        <v>400219</v>
      </c>
      <c r="F41">
        <v>25000</v>
      </c>
      <c r="G41">
        <v>0</v>
      </c>
      <c r="H41">
        <v>0</v>
      </c>
      <c r="I41">
        <v>0</v>
      </c>
      <c r="J41">
        <v>25000</v>
      </c>
      <c r="K41">
        <v>0</v>
      </c>
      <c r="L41">
        <v>0</v>
      </c>
      <c r="M41">
        <v>0</v>
      </c>
      <c r="N41" t="s">
        <v>76</v>
      </c>
      <c r="O41" t="b">
        <f t="shared" ref="O41:O100" si="4">E41=W41</f>
        <v>1</v>
      </c>
      <c r="P41" t="b">
        <f t="shared" ref="P41:P100" si="5">(J41-H41)=AA41</f>
        <v>1</v>
      </c>
      <c r="Q41" t="b">
        <f t="shared" ref="Q41:Q100" si="6">N41=AE41</f>
        <v>1</v>
      </c>
      <c r="R41" t="b">
        <f t="shared" ref="R41:R100" si="7">K41=AB41</f>
        <v>1</v>
      </c>
      <c r="S41" t="s">
        <v>127</v>
      </c>
      <c r="T41">
        <v>0</v>
      </c>
      <c r="U41">
        <v>1</v>
      </c>
      <c r="V41">
        <v>1</v>
      </c>
      <c r="W41">
        <v>400219</v>
      </c>
      <c r="X41">
        <v>0</v>
      </c>
      <c r="Y41">
        <v>0</v>
      </c>
      <c r="Z41">
        <v>0</v>
      </c>
      <c r="AA41">
        <v>25000</v>
      </c>
      <c r="AB41">
        <v>0</v>
      </c>
      <c r="AC41">
        <v>0</v>
      </c>
      <c r="AD41">
        <v>0</v>
      </c>
      <c r="AE41" t="s">
        <v>76</v>
      </c>
    </row>
    <row r="42" spans="1:31">
      <c r="A42" t="s">
        <v>0</v>
      </c>
      <c r="B42">
        <v>0</v>
      </c>
      <c r="C42">
        <v>1</v>
      </c>
      <c r="D42">
        <v>1</v>
      </c>
      <c r="E42">
        <v>400224</v>
      </c>
      <c r="F42">
        <v>25000</v>
      </c>
      <c r="G42">
        <v>0</v>
      </c>
      <c r="H42">
        <v>0</v>
      </c>
      <c r="I42">
        <v>0</v>
      </c>
      <c r="J42">
        <v>25000</v>
      </c>
      <c r="K42">
        <v>0</v>
      </c>
      <c r="L42">
        <v>0</v>
      </c>
      <c r="M42">
        <v>0</v>
      </c>
      <c r="N42" t="s">
        <v>76</v>
      </c>
      <c r="O42" t="b">
        <f t="shared" si="4"/>
        <v>1</v>
      </c>
      <c r="P42" t="b">
        <f t="shared" si="5"/>
        <v>1</v>
      </c>
      <c r="Q42" t="b">
        <f t="shared" si="6"/>
        <v>1</v>
      </c>
      <c r="R42" t="b">
        <f t="shared" si="7"/>
        <v>1</v>
      </c>
      <c r="S42" t="s">
        <v>127</v>
      </c>
      <c r="T42">
        <v>0</v>
      </c>
      <c r="U42">
        <v>1</v>
      </c>
      <c r="V42">
        <v>1</v>
      </c>
      <c r="W42">
        <v>400224</v>
      </c>
      <c r="X42">
        <v>0</v>
      </c>
      <c r="Y42">
        <v>0</v>
      </c>
      <c r="Z42">
        <v>0</v>
      </c>
      <c r="AA42">
        <v>25000</v>
      </c>
      <c r="AB42">
        <v>0</v>
      </c>
      <c r="AC42">
        <v>0</v>
      </c>
      <c r="AD42">
        <v>0</v>
      </c>
      <c r="AE42" t="s">
        <v>76</v>
      </c>
    </row>
    <row r="43" spans="1:31">
      <c r="A43" t="s">
        <v>0</v>
      </c>
      <c r="B43">
        <v>0</v>
      </c>
      <c r="C43">
        <v>1</v>
      </c>
      <c r="D43">
        <v>1</v>
      </c>
      <c r="E43">
        <v>400230</v>
      </c>
      <c r="F43">
        <v>1000000</v>
      </c>
      <c r="G43">
        <v>192</v>
      </c>
      <c r="H43">
        <v>0</v>
      </c>
      <c r="I43">
        <v>0</v>
      </c>
      <c r="J43">
        <v>1000000</v>
      </c>
      <c r="K43">
        <v>192</v>
      </c>
      <c r="L43">
        <v>0</v>
      </c>
      <c r="M43">
        <v>0</v>
      </c>
      <c r="N43" t="s">
        <v>76</v>
      </c>
      <c r="O43" t="b">
        <f t="shared" si="4"/>
        <v>1</v>
      </c>
      <c r="P43" t="b">
        <f t="shared" si="5"/>
        <v>1</v>
      </c>
      <c r="Q43" t="b">
        <f t="shared" si="6"/>
        <v>1</v>
      </c>
      <c r="R43" t="b">
        <f t="shared" si="7"/>
        <v>1</v>
      </c>
      <c r="S43" t="s">
        <v>127</v>
      </c>
      <c r="T43">
        <v>0</v>
      </c>
      <c r="U43">
        <v>1</v>
      </c>
      <c r="V43">
        <v>1</v>
      </c>
      <c r="W43">
        <v>400230</v>
      </c>
      <c r="X43">
        <v>0</v>
      </c>
      <c r="Y43">
        <v>0</v>
      </c>
      <c r="Z43">
        <v>0</v>
      </c>
      <c r="AA43">
        <v>1000000</v>
      </c>
      <c r="AB43">
        <v>192</v>
      </c>
      <c r="AC43">
        <v>0</v>
      </c>
      <c r="AD43">
        <v>0</v>
      </c>
      <c r="AE43" t="s">
        <v>76</v>
      </c>
    </row>
    <row r="44" spans="1:31">
      <c r="A44" t="s">
        <v>0</v>
      </c>
      <c r="B44">
        <v>0</v>
      </c>
      <c r="C44">
        <v>1</v>
      </c>
      <c r="D44">
        <v>1</v>
      </c>
      <c r="E44">
        <v>400231</v>
      </c>
      <c r="F44">
        <v>2000000</v>
      </c>
      <c r="G44">
        <v>0</v>
      </c>
      <c r="H44">
        <v>0</v>
      </c>
      <c r="I44">
        <v>0</v>
      </c>
      <c r="J44">
        <v>2000000</v>
      </c>
      <c r="K44">
        <v>0</v>
      </c>
      <c r="L44">
        <v>0</v>
      </c>
      <c r="M44">
        <v>0</v>
      </c>
      <c r="N44" t="s">
        <v>76</v>
      </c>
      <c r="O44" t="b">
        <f t="shared" si="4"/>
        <v>1</v>
      </c>
      <c r="P44" t="b">
        <f t="shared" si="5"/>
        <v>0</v>
      </c>
      <c r="Q44" t="b">
        <f t="shared" si="6"/>
        <v>1</v>
      </c>
      <c r="R44" t="b">
        <f t="shared" si="7"/>
        <v>1</v>
      </c>
      <c r="S44" t="s">
        <v>127</v>
      </c>
      <c r="T44">
        <v>0</v>
      </c>
      <c r="U44">
        <v>1</v>
      </c>
      <c r="V44">
        <v>1</v>
      </c>
      <c r="W44">
        <v>400231</v>
      </c>
      <c r="X44">
        <v>0</v>
      </c>
      <c r="Y44">
        <v>0</v>
      </c>
      <c r="Z44">
        <v>0</v>
      </c>
      <c r="AA44">
        <v>1000000</v>
      </c>
      <c r="AB44">
        <v>0</v>
      </c>
      <c r="AC44">
        <v>0</v>
      </c>
      <c r="AD44">
        <v>0</v>
      </c>
      <c r="AE44" t="s">
        <v>76</v>
      </c>
    </row>
    <row r="45" spans="1:31">
      <c r="O45" t="b">
        <f t="shared" si="4"/>
        <v>0</v>
      </c>
      <c r="P45" t="b">
        <f t="shared" si="5"/>
        <v>0</v>
      </c>
      <c r="Q45" t="b">
        <f t="shared" si="6"/>
        <v>0</v>
      </c>
      <c r="R45" t="b">
        <f t="shared" si="7"/>
        <v>1</v>
      </c>
      <c r="S45" t="s">
        <v>127</v>
      </c>
      <c r="T45">
        <v>0</v>
      </c>
      <c r="U45">
        <v>1</v>
      </c>
      <c r="V45">
        <v>1</v>
      </c>
      <c r="W45">
        <v>400283</v>
      </c>
      <c r="X45">
        <v>0</v>
      </c>
      <c r="Y45">
        <v>0</v>
      </c>
      <c r="Z45">
        <v>0</v>
      </c>
      <c r="AA45">
        <v>30000</v>
      </c>
      <c r="AB45">
        <v>0</v>
      </c>
      <c r="AC45">
        <v>0</v>
      </c>
      <c r="AD45">
        <v>0</v>
      </c>
      <c r="AE45" t="s">
        <v>76</v>
      </c>
    </row>
    <row r="46" spans="1:31">
      <c r="O46" t="b">
        <f t="shared" si="4"/>
        <v>0</v>
      </c>
      <c r="P46" t="b">
        <f t="shared" si="5"/>
        <v>0</v>
      </c>
      <c r="Q46" t="b">
        <f t="shared" si="6"/>
        <v>0</v>
      </c>
      <c r="R46" t="b">
        <f t="shared" si="7"/>
        <v>1</v>
      </c>
      <c r="S46" t="s">
        <v>127</v>
      </c>
      <c r="T46">
        <v>0</v>
      </c>
      <c r="U46">
        <v>1</v>
      </c>
      <c r="V46">
        <v>1</v>
      </c>
      <c r="W46">
        <v>400284</v>
      </c>
      <c r="X46">
        <v>0</v>
      </c>
      <c r="Y46">
        <v>0</v>
      </c>
      <c r="Z46">
        <v>0</v>
      </c>
      <c r="AA46">
        <v>50000</v>
      </c>
      <c r="AB46">
        <v>0</v>
      </c>
      <c r="AC46">
        <v>0</v>
      </c>
      <c r="AD46">
        <v>0</v>
      </c>
      <c r="AE46" t="s">
        <v>76</v>
      </c>
    </row>
    <row r="47" spans="1:31">
      <c r="A47" t="s">
        <v>0</v>
      </c>
      <c r="B47">
        <v>0</v>
      </c>
      <c r="C47">
        <v>1</v>
      </c>
      <c r="D47">
        <v>1</v>
      </c>
      <c r="E47">
        <v>400298</v>
      </c>
      <c r="F47">
        <v>600000</v>
      </c>
      <c r="G47">
        <v>0</v>
      </c>
      <c r="H47">
        <v>0</v>
      </c>
      <c r="I47">
        <v>0</v>
      </c>
      <c r="J47">
        <v>600000</v>
      </c>
      <c r="K47">
        <v>0</v>
      </c>
      <c r="L47">
        <v>0</v>
      </c>
      <c r="M47">
        <v>0</v>
      </c>
      <c r="N47" t="s">
        <v>76</v>
      </c>
      <c r="O47" t="b">
        <f t="shared" si="4"/>
        <v>1</v>
      </c>
      <c r="P47" t="b">
        <f t="shared" si="5"/>
        <v>1</v>
      </c>
      <c r="Q47" t="b">
        <f t="shared" si="6"/>
        <v>1</v>
      </c>
      <c r="R47" t="b">
        <f t="shared" si="7"/>
        <v>1</v>
      </c>
      <c r="S47" t="s">
        <v>127</v>
      </c>
      <c r="T47">
        <v>0</v>
      </c>
      <c r="U47">
        <v>1</v>
      </c>
      <c r="V47">
        <v>1</v>
      </c>
      <c r="W47">
        <v>400298</v>
      </c>
      <c r="X47">
        <v>0</v>
      </c>
      <c r="Y47">
        <v>0</v>
      </c>
      <c r="Z47">
        <v>0</v>
      </c>
      <c r="AA47">
        <v>600000</v>
      </c>
      <c r="AB47">
        <v>0</v>
      </c>
      <c r="AC47">
        <v>0</v>
      </c>
      <c r="AD47">
        <v>0</v>
      </c>
      <c r="AE47" t="s">
        <v>76</v>
      </c>
    </row>
    <row r="48" spans="1:31">
      <c r="A48" t="s">
        <v>0</v>
      </c>
      <c r="B48">
        <v>0</v>
      </c>
      <c r="C48">
        <v>1</v>
      </c>
      <c r="D48">
        <v>1</v>
      </c>
      <c r="E48">
        <v>400301</v>
      </c>
      <c r="F48">
        <v>51000</v>
      </c>
      <c r="G48">
        <v>0</v>
      </c>
      <c r="H48">
        <v>0</v>
      </c>
      <c r="I48">
        <v>0</v>
      </c>
      <c r="J48">
        <v>51000</v>
      </c>
      <c r="K48">
        <v>0</v>
      </c>
      <c r="L48">
        <v>0</v>
      </c>
      <c r="M48">
        <v>0</v>
      </c>
      <c r="N48" t="s">
        <v>76</v>
      </c>
      <c r="O48" t="b">
        <f t="shared" si="4"/>
        <v>1</v>
      </c>
      <c r="P48" t="b">
        <f t="shared" si="5"/>
        <v>1</v>
      </c>
      <c r="Q48" t="b">
        <f t="shared" si="6"/>
        <v>1</v>
      </c>
      <c r="R48" t="b">
        <f t="shared" si="7"/>
        <v>1</v>
      </c>
      <c r="S48" t="s">
        <v>127</v>
      </c>
      <c r="T48">
        <v>0</v>
      </c>
      <c r="U48">
        <v>1</v>
      </c>
      <c r="V48">
        <v>1</v>
      </c>
      <c r="W48">
        <v>400301</v>
      </c>
      <c r="X48">
        <v>0</v>
      </c>
      <c r="Y48">
        <v>0</v>
      </c>
      <c r="Z48">
        <v>0</v>
      </c>
      <c r="AA48">
        <v>51000</v>
      </c>
      <c r="AB48">
        <v>0</v>
      </c>
      <c r="AC48">
        <v>0</v>
      </c>
      <c r="AD48">
        <v>0</v>
      </c>
      <c r="AE48" t="s">
        <v>76</v>
      </c>
    </row>
    <row r="49" spans="1:31">
      <c r="A49" t="s">
        <v>0</v>
      </c>
      <c r="B49">
        <v>0</v>
      </c>
      <c r="C49">
        <v>1</v>
      </c>
      <c r="D49">
        <v>1</v>
      </c>
      <c r="E49">
        <v>400305</v>
      </c>
      <c r="F49">
        <v>60</v>
      </c>
      <c r="G49">
        <v>0</v>
      </c>
      <c r="H49">
        <v>0</v>
      </c>
      <c r="I49">
        <v>0</v>
      </c>
      <c r="J49">
        <v>60</v>
      </c>
      <c r="K49">
        <v>0</v>
      </c>
      <c r="L49">
        <v>0</v>
      </c>
      <c r="M49">
        <v>0</v>
      </c>
      <c r="N49" t="s">
        <v>76</v>
      </c>
      <c r="O49" t="b">
        <f t="shared" si="4"/>
        <v>1</v>
      </c>
      <c r="P49" t="b">
        <f t="shared" si="5"/>
        <v>1</v>
      </c>
      <c r="Q49" t="b">
        <f t="shared" si="6"/>
        <v>1</v>
      </c>
      <c r="R49" t="b">
        <f t="shared" si="7"/>
        <v>1</v>
      </c>
      <c r="S49" t="s">
        <v>127</v>
      </c>
      <c r="T49">
        <v>0</v>
      </c>
      <c r="U49">
        <v>1</v>
      </c>
      <c r="V49">
        <v>1</v>
      </c>
      <c r="W49">
        <v>400305</v>
      </c>
      <c r="X49">
        <v>0</v>
      </c>
      <c r="Y49">
        <v>0</v>
      </c>
      <c r="Z49">
        <v>0</v>
      </c>
      <c r="AA49">
        <v>60</v>
      </c>
      <c r="AB49">
        <v>0</v>
      </c>
      <c r="AC49">
        <v>0</v>
      </c>
      <c r="AD49">
        <v>0</v>
      </c>
      <c r="AE49" t="s">
        <v>76</v>
      </c>
    </row>
    <row r="50" spans="1:31">
      <c r="A50" t="s">
        <v>0</v>
      </c>
      <c r="B50">
        <v>0</v>
      </c>
      <c r="C50">
        <v>1</v>
      </c>
      <c r="D50">
        <v>1</v>
      </c>
      <c r="E50">
        <v>400314</v>
      </c>
      <c r="F50">
        <v>250</v>
      </c>
      <c r="G50">
        <v>0</v>
      </c>
      <c r="H50">
        <v>0</v>
      </c>
      <c r="I50">
        <v>0</v>
      </c>
      <c r="J50">
        <v>250</v>
      </c>
      <c r="K50">
        <v>0</v>
      </c>
      <c r="L50">
        <v>0</v>
      </c>
      <c r="M50">
        <v>0</v>
      </c>
      <c r="N50" t="s">
        <v>76</v>
      </c>
      <c r="O50" t="b">
        <f t="shared" si="4"/>
        <v>1</v>
      </c>
      <c r="P50" t="b">
        <f t="shared" si="5"/>
        <v>1</v>
      </c>
      <c r="Q50" t="b">
        <f t="shared" si="6"/>
        <v>1</v>
      </c>
      <c r="R50" t="b">
        <f t="shared" si="7"/>
        <v>1</v>
      </c>
      <c r="S50" t="s">
        <v>127</v>
      </c>
      <c r="T50">
        <v>0</v>
      </c>
      <c r="U50">
        <v>1</v>
      </c>
      <c r="V50">
        <v>1</v>
      </c>
      <c r="W50">
        <v>400314</v>
      </c>
      <c r="X50">
        <v>0</v>
      </c>
      <c r="Y50">
        <v>0</v>
      </c>
      <c r="Z50">
        <v>0</v>
      </c>
      <c r="AA50">
        <v>250</v>
      </c>
      <c r="AB50">
        <v>0</v>
      </c>
      <c r="AC50">
        <v>0</v>
      </c>
      <c r="AD50">
        <v>0</v>
      </c>
      <c r="AE50" t="s">
        <v>76</v>
      </c>
    </row>
    <row r="51" spans="1:31">
      <c r="A51" t="s">
        <v>0</v>
      </c>
      <c r="B51">
        <v>0</v>
      </c>
      <c r="C51">
        <v>1</v>
      </c>
      <c r="D51">
        <v>1</v>
      </c>
      <c r="E51">
        <v>400322</v>
      </c>
      <c r="F51">
        <v>2500</v>
      </c>
      <c r="G51">
        <v>0</v>
      </c>
      <c r="H51">
        <v>0</v>
      </c>
      <c r="I51">
        <v>0</v>
      </c>
      <c r="J51">
        <v>2500</v>
      </c>
      <c r="K51">
        <v>0</v>
      </c>
      <c r="L51">
        <v>0</v>
      </c>
      <c r="M51">
        <v>0</v>
      </c>
      <c r="N51" t="s">
        <v>76</v>
      </c>
      <c r="O51" t="b">
        <f t="shared" si="4"/>
        <v>1</v>
      </c>
      <c r="P51" t="b">
        <f t="shared" si="5"/>
        <v>1</v>
      </c>
      <c r="Q51" t="b">
        <f t="shared" si="6"/>
        <v>1</v>
      </c>
      <c r="R51" t="b">
        <f t="shared" si="7"/>
        <v>1</v>
      </c>
      <c r="S51" t="s">
        <v>127</v>
      </c>
      <c r="T51">
        <v>0</v>
      </c>
      <c r="U51">
        <v>1</v>
      </c>
      <c r="V51">
        <v>1</v>
      </c>
      <c r="W51">
        <v>400322</v>
      </c>
      <c r="X51">
        <v>0</v>
      </c>
      <c r="Y51">
        <v>0</v>
      </c>
      <c r="Z51">
        <v>0</v>
      </c>
      <c r="AA51">
        <v>2500</v>
      </c>
      <c r="AB51">
        <v>0</v>
      </c>
      <c r="AC51">
        <v>0</v>
      </c>
      <c r="AD51">
        <v>0</v>
      </c>
      <c r="AE51" t="s">
        <v>76</v>
      </c>
    </row>
    <row r="52" spans="1:31">
      <c r="A52" t="s">
        <v>0</v>
      </c>
      <c r="B52">
        <v>0</v>
      </c>
      <c r="C52">
        <v>1</v>
      </c>
      <c r="D52">
        <v>1</v>
      </c>
      <c r="E52">
        <v>400323</v>
      </c>
      <c r="F52">
        <v>2500</v>
      </c>
      <c r="G52">
        <v>0</v>
      </c>
      <c r="H52">
        <v>0</v>
      </c>
      <c r="I52">
        <v>0</v>
      </c>
      <c r="J52">
        <v>2500</v>
      </c>
      <c r="K52">
        <v>0</v>
      </c>
      <c r="L52">
        <v>0</v>
      </c>
      <c r="M52">
        <v>0</v>
      </c>
      <c r="N52" t="s">
        <v>76</v>
      </c>
      <c r="O52" t="b">
        <f t="shared" si="4"/>
        <v>1</v>
      </c>
      <c r="P52" t="b">
        <f t="shared" si="5"/>
        <v>1</v>
      </c>
      <c r="Q52" t="b">
        <f t="shared" si="6"/>
        <v>1</v>
      </c>
      <c r="R52" t="b">
        <f t="shared" si="7"/>
        <v>1</v>
      </c>
      <c r="S52" t="s">
        <v>127</v>
      </c>
      <c r="T52">
        <v>0</v>
      </c>
      <c r="U52">
        <v>1</v>
      </c>
      <c r="V52">
        <v>1</v>
      </c>
      <c r="W52">
        <v>400323</v>
      </c>
      <c r="X52">
        <v>0</v>
      </c>
      <c r="Y52">
        <v>0</v>
      </c>
      <c r="Z52">
        <v>0</v>
      </c>
      <c r="AA52">
        <v>2500</v>
      </c>
      <c r="AB52">
        <v>0</v>
      </c>
      <c r="AC52">
        <v>0</v>
      </c>
      <c r="AD52">
        <v>0</v>
      </c>
      <c r="AE52" t="s">
        <v>76</v>
      </c>
    </row>
    <row r="53" spans="1:31">
      <c r="A53" t="s">
        <v>0</v>
      </c>
      <c r="B53">
        <v>0</v>
      </c>
      <c r="C53">
        <v>1</v>
      </c>
      <c r="D53">
        <v>1</v>
      </c>
      <c r="E53">
        <v>400324</v>
      </c>
      <c r="F53">
        <v>2500</v>
      </c>
      <c r="G53">
        <v>0</v>
      </c>
      <c r="H53">
        <v>0</v>
      </c>
      <c r="I53">
        <v>0</v>
      </c>
      <c r="J53">
        <v>2500</v>
      </c>
      <c r="K53">
        <v>0</v>
      </c>
      <c r="L53">
        <v>0</v>
      </c>
      <c r="M53">
        <v>0</v>
      </c>
      <c r="N53" t="s">
        <v>76</v>
      </c>
      <c r="O53" t="b">
        <f t="shared" si="4"/>
        <v>1</v>
      </c>
      <c r="P53" t="b">
        <f t="shared" si="5"/>
        <v>1</v>
      </c>
      <c r="Q53" t="b">
        <f t="shared" si="6"/>
        <v>1</v>
      </c>
      <c r="R53" t="b">
        <f t="shared" si="7"/>
        <v>1</v>
      </c>
      <c r="S53" t="s">
        <v>127</v>
      </c>
      <c r="T53">
        <v>0</v>
      </c>
      <c r="U53">
        <v>1</v>
      </c>
      <c r="V53">
        <v>1</v>
      </c>
      <c r="W53">
        <v>400324</v>
      </c>
      <c r="X53">
        <v>0</v>
      </c>
      <c r="Y53">
        <v>0</v>
      </c>
      <c r="Z53">
        <v>0</v>
      </c>
      <c r="AA53">
        <v>2500</v>
      </c>
      <c r="AB53">
        <v>0</v>
      </c>
      <c r="AC53">
        <v>0</v>
      </c>
      <c r="AD53">
        <v>0</v>
      </c>
      <c r="AE53" t="s">
        <v>76</v>
      </c>
    </row>
    <row r="54" spans="1:31">
      <c r="A54" t="s">
        <v>0</v>
      </c>
      <c r="B54">
        <v>0</v>
      </c>
      <c r="C54">
        <v>1</v>
      </c>
      <c r="D54">
        <v>1</v>
      </c>
      <c r="E54">
        <v>400326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76</v>
      </c>
      <c r="O54" t="b">
        <f t="shared" si="4"/>
        <v>1</v>
      </c>
      <c r="P54" t="b">
        <f t="shared" si="5"/>
        <v>1</v>
      </c>
      <c r="Q54" t="b">
        <f t="shared" si="6"/>
        <v>1</v>
      </c>
      <c r="R54" t="b">
        <f t="shared" si="7"/>
        <v>1</v>
      </c>
      <c r="S54" t="s">
        <v>127</v>
      </c>
      <c r="T54">
        <v>0</v>
      </c>
      <c r="U54">
        <v>1</v>
      </c>
      <c r="V54">
        <v>1</v>
      </c>
      <c r="W54">
        <v>400326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76</v>
      </c>
    </row>
    <row r="55" spans="1:31">
      <c r="A55" t="s">
        <v>0</v>
      </c>
      <c r="B55">
        <v>0</v>
      </c>
      <c r="C55">
        <v>1</v>
      </c>
      <c r="D55">
        <v>1</v>
      </c>
      <c r="E55">
        <v>400327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76</v>
      </c>
      <c r="O55" t="b">
        <f t="shared" si="4"/>
        <v>1</v>
      </c>
      <c r="P55" t="b">
        <f t="shared" si="5"/>
        <v>1</v>
      </c>
      <c r="Q55" t="b">
        <f t="shared" si="6"/>
        <v>1</v>
      </c>
      <c r="R55" t="b">
        <f t="shared" si="7"/>
        <v>1</v>
      </c>
      <c r="S55" t="s">
        <v>127</v>
      </c>
      <c r="T55">
        <v>0</v>
      </c>
      <c r="U55">
        <v>1</v>
      </c>
      <c r="V55">
        <v>1</v>
      </c>
      <c r="W55">
        <v>400327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76</v>
      </c>
    </row>
    <row r="56" spans="1:31">
      <c r="A56" t="s">
        <v>0</v>
      </c>
      <c r="B56">
        <v>0</v>
      </c>
      <c r="C56">
        <v>1</v>
      </c>
      <c r="D56">
        <v>1</v>
      </c>
      <c r="E56">
        <v>400328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76</v>
      </c>
      <c r="O56" t="b">
        <f t="shared" si="4"/>
        <v>1</v>
      </c>
      <c r="P56" t="b">
        <f t="shared" si="5"/>
        <v>1</v>
      </c>
      <c r="Q56" t="b">
        <f t="shared" si="6"/>
        <v>1</v>
      </c>
      <c r="R56" t="b">
        <f t="shared" si="7"/>
        <v>1</v>
      </c>
      <c r="S56" t="s">
        <v>127</v>
      </c>
      <c r="T56">
        <v>0</v>
      </c>
      <c r="U56">
        <v>1</v>
      </c>
      <c r="V56">
        <v>1</v>
      </c>
      <c r="W56">
        <v>400328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76</v>
      </c>
    </row>
    <row r="57" spans="1:31">
      <c r="A57" t="s">
        <v>0</v>
      </c>
      <c r="B57">
        <v>0</v>
      </c>
      <c r="C57">
        <v>1</v>
      </c>
      <c r="D57">
        <v>1</v>
      </c>
      <c r="E57">
        <v>400329</v>
      </c>
      <c r="F57">
        <v>5000</v>
      </c>
      <c r="G57">
        <v>0</v>
      </c>
      <c r="H57">
        <v>0</v>
      </c>
      <c r="I57">
        <v>0</v>
      </c>
      <c r="J57">
        <v>5000</v>
      </c>
      <c r="K57">
        <v>0</v>
      </c>
      <c r="L57">
        <v>0</v>
      </c>
      <c r="M57">
        <v>0</v>
      </c>
      <c r="N57" t="s">
        <v>76</v>
      </c>
      <c r="O57" t="b">
        <f t="shared" si="4"/>
        <v>1</v>
      </c>
      <c r="P57" t="b">
        <f t="shared" si="5"/>
        <v>1</v>
      </c>
      <c r="Q57" t="b">
        <f t="shared" si="6"/>
        <v>1</v>
      </c>
      <c r="R57" t="b">
        <f t="shared" si="7"/>
        <v>1</v>
      </c>
      <c r="S57" t="s">
        <v>127</v>
      </c>
      <c r="T57">
        <v>0</v>
      </c>
      <c r="U57">
        <v>1</v>
      </c>
      <c r="V57">
        <v>1</v>
      </c>
      <c r="W57">
        <v>400329</v>
      </c>
      <c r="X57">
        <v>0</v>
      </c>
      <c r="Y57">
        <v>0</v>
      </c>
      <c r="Z57">
        <v>0</v>
      </c>
      <c r="AA57">
        <v>5000</v>
      </c>
      <c r="AB57">
        <v>0</v>
      </c>
      <c r="AC57">
        <v>0</v>
      </c>
      <c r="AD57">
        <v>0</v>
      </c>
      <c r="AE57" t="s">
        <v>76</v>
      </c>
    </row>
    <row r="58" spans="1:31">
      <c r="A58" t="s">
        <v>0</v>
      </c>
      <c r="B58">
        <v>0</v>
      </c>
      <c r="C58">
        <v>1</v>
      </c>
      <c r="D58">
        <v>1</v>
      </c>
      <c r="E58">
        <v>400330</v>
      </c>
      <c r="F58">
        <v>250</v>
      </c>
      <c r="G58">
        <v>0</v>
      </c>
      <c r="H58">
        <v>0</v>
      </c>
      <c r="I58">
        <v>0</v>
      </c>
      <c r="J58">
        <v>250</v>
      </c>
      <c r="K58">
        <v>0</v>
      </c>
      <c r="L58">
        <v>0</v>
      </c>
      <c r="M58">
        <v>0</v>
      </c>
      <c r="N58" t="s">
        <v>76</v>
      </c>
      <c r="O58" t="b">
        <f t="shared" si="4"/>
        <v>1</v>
      </c>
      <c r="P58" t="b">
        <f t="shared" si="5"/>
        <v>1</v>
      </c>
      <c r="Q58" t="b">
        <f t="shared" si="6"/>
        <v>1</v>
      </c>
      <c r="R58" t="b">
        <f t="shared" si="7"/>
        <v>1</v>
      </c>
      <c r="S58" t="s">
        <v>127</v>
      </c>
      <c r="T58">
        <v>0</v>
      </c>
      <c r="U58">
        <v>1</v>
      </c>
      <c r="V58">
        <v>1</v>
      </c>
      <c r="W58">
        <v>400330</v>
      </c>
      <c r="X58">
        <v>0</v>
      </c>
      <c r="Y58">
        <v>0</v>
      </c>
      <c r="Z58">
        <v>0</v>
      </c>
      <c r="AA58">
        <v>250</v>
      </c>
      <c r="AB58">
        <v>0</v>
      </c>
      <c r="AC58">
        <v>0</v>
      </c>
      <c r="AD58">
        <v>0</v>
      </c>
      <c r="AE58" t="s">
        <v>76</v>
      </c>
    </row>
    <row r="59" spans="1:31">
      <c r="A59" t="s">
        <v>0</v>
      </c>
      <c r="B59">
        <v>0</v>
      </c>
      <c r="C59">
        <v>1</v>
      </c>
      <c r="D59">
        <v>1</v>
      </c>
      <c r="E59">
        <v>400335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123</v>
      </c>
      <c r="O59" t="b">
        <f t="shared" si="4"/>
        <v>1</v>
      </c>
      <c r="P59" t="b">
        <f t="shared" si="5"/>
        <v>1</v>
      </c>
      <c r="Q59" t="b">
        <f t="shared" si="6"/>
        <v>1</v>
      </c>
      <c r="R59" t="b">
        <f t="shared" si="7"/>
        <v>1</v>
      </c>
      <c r="S59" t="s">
        <v>127</v>
      </c>
      <c r="T59">
        <v>0</v>
      </c>
      <c r="U59">
        <v>1</v>
      </c>
      <c r="V59">
        <v>1</v>
      </c>
      <c r="W59">
        <v>400335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123</v>
      </c>
    </row>
    <row r="60" spans="1:31">
      <c r="A60" t="s">
        <v>0</v>
      </c>
      <c r="B60">
        <v>0</v>
      </c>
      <c r="C60">
        <v>1</v>
      </c>
      <c r="D60">
        <v>1</v>
      </c>
      <c r="E60">
        <v>400336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123</v>
      </c>
      <c r="O60" t="b">
        <f t="shared" si="4"/>
        <v>1</v>
      </c>
      <c r="P60" t="b">
        <f t="shared" si="5"/>
        <v>1</v>
      </c>
      <c r="Q60" t="b">
        <f t="shared" si="6"/>
        <v>1</v>
      </c>
      <c r="R60" t="b">
        <f t="shared" si="7"/>
        <v>1</v>
      </c>
      <c r="S60" t="s">
        <v>127</v>
      </c>
      <c r="T60">
        <v>0</v>
      </c>
      <c r="U60">
        <v>1</v>
      </c>
      <c r="V60">
        <v>1</v>
      </c>
      <c r="W60">
        <v>400336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123</v>
      </c>
    </row>
    <row r="61" spans="1:31">
      <c r="A61" t="s">
        <v>0</v>
      </c>
      <c r="B61">
        <v>0</v>
      </c>
      <c r="C61">
        <v>1</v>
      </c>
      <c r="D61">
        <v>1</v>
      </c>
      <c r="E61">
        <v>400337</v>
      </c>
      <c r="F61">
        <v>1000</v>
      </c>
      <c r="G61">
        <v>0</v>
      </c>
      <c r="H61">
        <v>0</v>
      </c>
      <c r="I61">
        <v>0</v>
      </c>
      <c r="J61">
        <v>1000</v>
      </c>
      <c r="K61">
        <v>0</v>
      </c>
      <c r="L61">
        <v>0</v>
      </c>
      <c r="M61">
        <v>0</v>
      </c>
      <c r="N61" t="s">
        <v>76</v>
      </c>
      <c r="O61" t="b">
        <f t="shared" si="4"/>
        <v>1</v>
      </c>
      <c r="P61" t="b">
        <f t="shared" si="5"/>
        <v>1</v>
      </c>
      <c r="Q61" t="b">
        <f t="shared" si="6"/>
        <v>1</v>
      </c>
      <c r="R61" t="b">
        <f t="shared" si="7"/>
        <v>1</v>
      </c>
      <c r="S61" t="s">
        <v>127</v>
      </c>
      <c r="T61">
        <v>0</v>
      </c>
      <c r="U61">
        <v>1</v>
      </c>
      <c r="V61">
        <v>1</v>
      </c>
      <c r="W61">
        <v>400337</v>
      </c>
      <c r="X61">
        <v>0</v>
      </c>
      <c r="Y61">
        <v>0</v>
      </c>
      <c r="Z61">
        <v>0</v>
      </c>
      <c r="AA61">
        <v>1000</v>
      </c>
      <c r="AB61">
        <v>0</v>
      </c>
      <c r="AC61">
        <v>0</v>
      </c>
      <c r="AD61">
        <v>0</v>
      </c>
      <c r="AE61" t="s">
        <v>76</v>
      </c>
    </row>
    <row r="62" spans="1:31">
      <c r="A62" t="s">
        <v>0</v>
      </c>
      <c r="B62">
        <v>0</v>
      </c>
      <c r="C62">
        <v>1</v>
      </c>
      <c r="D62">
        <v>1</v>
      </c>
      <c r="E62">
        <v>400440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123</v>
      </c>
      <c r="O62" t="b">
        <f t="shared" si="4"/>
        <v>1</v>
      </c>
      <c r="P62" t="b">
        <f t="shared" si="5"/>
        <v>1</v>
      </c>
      <c r="Q62" t="b">
        <f t="shared" si="6"/>
        <v>1</v>
      </c>
      <c r="R62" t="b">
        <f t="shared" si="7"/>
        <v>1</v>
      </c>
      <c r="S62" t="s">
        <v>127</v>
      </c>
      <c r="T62">
        <v>0</v>
      </c>
      <c r="U62">
        <v>1</v>
      </c>
      <c r="V62">
        <v>1</v>
      </c>
      <c r="W62">
        <v>400440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123</v>
      </c>
    </row>
    <row r="63" spans="1:31">
      <c r="A63" t="s">
        <v>0</v>
      </c>
      <c r="B63">
        <v>0</v>
      </c>
      <c r="C63">
        <v>1</v>
      </c>
      <c r="D63">
        <v>1</v>
      </c>
      <c r="E63">
        <v>400444</v>
      </c>
      <c r="F63">
        <v>15000</v>
      </c>
      <c r="G63">
        <v>0</v>
      </c>
      <c r="H63">
        <v>0</v>
      </c>
      <c r="I63">
        <v>0</v>
      </c>
      <c r="J63">
        <v>15000</v>
      </c>
      <c r="K63">
        <v>0</v>
      </c>
      <c r="L63">
        <v>0</v>
      </c>
      <c r="M63">
        <v>0</v>
      </c>
      <c r="N63" t="s">
        <v>76</v>
      </c>
      <c r="O63" t="b">
        <f t="shared" si="4"/>
        <v>1</v>
      </c>
      <c r="P63" t="b">
        <f t="shared" si="5"/>
        <v>1</v>
      </c>
      <c r="Q63" t="b">
        <f t="shared" si="6"/>
        <v>1</v>
      </c>
      <c r="R63" t="b">
        <f t="shared" si="7"/>
        <v>1</v>
      </c>
      <c r="S63" t="s">
        <v>127</v>
      </c>
      <c r="T63">
        <v>0</v>
      </c>
      <c r="U63">
        <v>1</v>
      </c>
      <c r="V63">
        <v>1</v>
      </c>
      <c r="W63">
        <v>400444</v>
      </c>
      <c r="X63">
        <v>0</v>
      </c>
      <c r="Y63">
        <v>0</v>
      </c>
      <c r="Z63">
        <v>0</v>
      </c>
      <c r="AA63">
        <v>15000</v>
      </c>
      <c r="AB63">
        <v>0</v>
      </c>
      <c r="AC63">
        <v>0</v>
      </c>
      <c r="AD63">
        <v>0</v>
      </c>
      <c r="AE63" t="s">
        <v>76</v>
      </c>
    </row>
    <row r="64" spans="1:31">
      <c r="A64" t="s">
        <v>0</v>
      </c>
      <c r="B64">
        <v>0</v>
      </c>
      <c r="C64">
        <v>1</v>
      </c>
      <c r="D64">
        <v>1</v>
      </c>
      <c r="E64">
        <v>400445</v>
      </c>
      <c r="F64">
        <v>10000</v>
      </c>
      <c r="G64">
        <v>0</v>
      </c>
      <c r="H64">
        <v>0</v>
      </c>
      <c r="I64">
        <v>0</v>
      </c>
      <c r="J64">
        <v>10000</v>
      </c>
      <c r="K64">
        <v>0</v>
      </c>
      <c r="L64">
        <v>0</v>
      </c>
      <c r="M64">
        <v>0</v>
      </c>
      <c r="N64" t="s">
        <v>76</v>
      </c>
      <c r="O64" t="b">
        <f t="shared" si="4"/>
        <v>1</v>
      </c>
      <c r="P64" t="b">
        <f t="shared" si="5"/>
        <v>1</v>
      </c>
      <c r="Q64" t="b">
        <f t="shared" si="6"/>
        <v>1</v>
      </c>
      <c r="R64" t="b">
        <f t="shared" si="7"/>
        <v>1</v>
      </c>
      <c r="S64" t="s">
        <v>127</v>
      </c>
      <c r="T64">
        <v>0</v>
      </c>
      <c r="U64">
        <v>1</v>
      </c>
      <c r="V64">
        <v>1</v>
      </c>
      <c r="W64">
        <v>400445</v>
      </c>
      <c r="X64">
        <v>0</v>
      </c>
      <c r="Y64">
        <v>0</v>
      </c>
      <c r="Z64">
        <v>0</v>
      </c>
      <c r="AA64">
        <v>10000</v>
      </c>
      <c r="AB64">
        <v>0</v>
      </c>
      <c r="AC64">
        <v>0</v>
      </c>
      <c r="AD64">
        <v>0</v>
      </c>
      <c r="AE64" t="s">
        <v>76</v>
      </c>
    </row>
    <row r="65" spans="1:31">
      <c r="A65" t="s">
        <v>0</v>
      </c>
      <c r="B65">
        <v>0</v>
      </c>
      <c r="C65">
        <v>1</v>
      </c>
      <c r="D65">
        <v>1</v>
      </c>
      <c r="E65">
        <v>400447</v>
      </c>
      <c r="F65">
        <v>180</v>
      </c>
      <c r="G65">
        <v>0</v>
      </c>
      <c r="H65">
        <v>0</v>
      </c>
      <c r="I65">
        <v>0</v>
      </c>
      <c r="J65">
        <v>180</v>
      </c>
      <c r="K65">
        <v>0</v>
      </c>
      <c r="L65">
        <v>0</v>
      </c>
      <c r="M65">
        <v>0</v>
      </c>
      <c r="N65" t="s">
        <v>76</v>
      </c>
      <c r="O65" t="b">
        <f t="shared" si="4"/>
        <v>1</v>
      </c>
      <c r="P65" t="b">
        <f t="shared" si="5"/>
        <v>1</v>
      </c>
      <c r="Q65" t="b">
        <f t="shared" si="6"/>
        <v>1</v>
      </c>
      <c r="R65" t="b">
        <f t="shared" si="7"/>
        <v>1</v>
      </c>
      <c r="S65" t="s">
        <v>127</v>
      </c>
      <c r="T65">
        <v>0</v>
      </c>
      <c r="U65">
        <v>1</v>
      </c>
      <c r="V65">
        <v>1</v>
      </c>
      <c r="W65">
        <v>400447</v>
      </c>
      <c r="X65">
        <v>0</v>
      </c>
      <c r="Y65">
        <v>0</v>
      </c>
      <c r="Z65">
        <v>0</v>
      </c>
      <c r="AA65">
        <v>180</v>
      </c>
      <c r="AB65">
        <v>0</v>
      </c>
      <c r="AC65">
        <v>0</v>
      </c>
      <c r="AD65">
        <v>0</v>
      </c>
      <c r="AE65" t="s">
        <v>76</v>
      </c>
    </row>
    <row r="66" spans="1:31">
      <c r="A66" t="s">
        <v>0</v>
      </c>
      <c r="B66">
        <v>0</v>
      </c>
      <c r="C66">
        <v>1</v>
      </c>
      <c r="D66">
        <v>1</v>
      </c>
      <c r="E66">
        <v>400448</v>
      </c>
      <c r="F66">
        <v>500000</v>
      </c>
      <c r="G66">
        <v>0</v>
      </c>
      <c r="H66">
        <v>0</v>
      </c>
      <c r="I66">
        <v>0</v>
      </c>
      <c r="J66">
        <v>500000</v>
      </c>
      <c r="K66">
        <v>0</v>
      </c>
      <c r="L66">
        <v>0</v>
      </c>
      <c r="M66">
        <v>0</v>
      </c>
      <c r="N66" t="s">
        <v>76</v>
      </c>
      <c r="O66" t="b">
        <f t="shared" si="4"/>
        <v>1</v>
      </c>
      <c r="P66" t="b">
        <f t="shared" si="5"/>
        <v>1</v>
      </c>
      <c r="Q66" t="b">
        <f t="shared" si="6"/>
        <v>1</v>
      </c>
      <c r="R66" t="b">
        <f t="shared" si="7"/>
        <v>1</v>
      </c>
      <c r="S66" t="s">
        <v>127</v>
      </c>
      <c r="T66">
        <v>0</v>
      </c>
      <c r="U66">
        <v>1</v>
      </c>
      <c r="V66">
        <v>1</v>
      </c>
      <c r="W66">
        <v>400448</v>
      </c>
      <c r="X66">
        <v>0</v>
      </c>
      <c r="Y66">
        <v>0</v>
      </c>
      <c r="Z66">
        <v>0</v>
      </c>
      <c r="AA66">
        <v>500000</v>
      </c>
      <c r="AB66">
        <v>0</v>
      </c>
      <c r="AC66">
        <v>0</v>
      </c>
      <c r="AD66">
        <v>0</v>
      </c>
      <c r="AE66" t="s">
        <v>76</v>
      </c>
    </row>
    <row r="67" spans="1:31">
      <c r="A67" t="s">
        <v>0</v>
      </c>
      <c r="B67">
        <v>0</v>
      </c>
      <c r="C67">
        <v>1</v>
      </c>
      <c r="D67">
        <v>1</v>
      </c>
      <c r="E67">
        <v>400449</v>
      </c>
      <c r="F67">
        <v>100000</v>
      </c>
      <c r="G67">
        <v>0</v>
      </c>
      <c r="H67">
        <v>0</v>
      </c>
      <c r="I67">
        <v>0</v>
      </c>
      <c r="J67">
        <v>100000</v>
      </c>
      <c r="K67">
        <v>0</v>
      </c>
      <c r="L67">
        <v>0</v>
      </c>
      <c r="M67">
        <v>0</v>
      </c>
      <c r="N67" t="s">
        <v>76</v>
      </c>
      <c r="O67" t="b">
        <f t="shared" si="4"/>
        <v>1</v>
      </c>
      <c r="P67" t="b">
        <f t="shared" si="5"/>
        <v>1</v>
      </c>
      <c r="Q67" t="b">
        <f t="shared" si="6"/>
        <v>1</v>
      </c>
      <c r="R67" t="b">
        <f t="shared" si="7"/>
        <v>1</v>
      </c>
      <c r="S67" t="s">
        <v>127</v>
      </c>
      <c r="T67">
        <v>0</v>
      </c>
      <c r="U67">
        <v>1</v>
      </c>
      <c r="V67">
        <v>1</v>
      </c>
      <c r="W67">
        <v>400449</v>
      </c>
      <c r="X67">
        <v>0</v>
      </c>
      <c r="Y67">
        <v>0</v>
      </c>
      <c r="Z67">
        <v>0</v>
      </c>
      <c r="AA67">
        <v>100000</v>
      </c>
      <c r="AB67">
        <v>0</v>
      </c>
      <c r="AC67">
        <v>0</v>
      </c>
      <c r="AD67">
        <v>0</v>
      </c>
      <c r="AE67" t="s">
        <v>76</v>
      </c>
    </row>
    <row r="68" spans="1:31">
      <c r="A68" t="s">
        <v>0</v>
      </c>
      <c r="B68">
        <v>0</v>
      </c>
      <c r="C68">
        <v>1</v>
      </c>
      <c r="D68">
        <v>1</v>
      </c>
      <c r="E68">
        <v>400450</v>
      </c>
      <c r="F68">
        <v>25000</v>
      </c>
      <c r="G68">
        <v>0</v>
      </c>
      <c r="H68">
        <v>0</v>
      </c>
      <c r="I68">
        <v>0</v>
      </c>
      <c r="J68">
        <v>25000</v>
      </c>
      <c r="K68">
        <v>0</v>
      </c>
      <c r="L68">
        <v>0</v>
      </c>
      <c r="M68">
        <v>0</v>
      </c>
      <c r="N68" t="s">
        <v>76</v>
      </c>
      <c r="O68" t="b">
        <f t="shared" si="4"/>
        <v>1</v>
      </c>
      <c r="P68" t="b">
        <f t="shared" si="5"/>
        <v>1</v>
      </c>
      <c r="Q68" t="b">
        <f t="shared" si="6"/>
        <v>1</v>
      </c>
      <c r="R68" t="b">
        <f t="shared" si="7"/>
        <v>1</v>
      </c>
      <c r="S68" t="s">
        <v>127</v>
      </c>
      <c r="T68">
        <v>0</v>
      </c>
      <c r="U68">
        <v>1</v>
      </c>
      <c r="V68">
        <v>1</v>
      </c>
      <c r="W68">
        <v>400450</v>
      </c>
      <c r="X68">
        <v>0</v>
      </c>
      <c r="Y68">
        <v>0</v>
      </c>
      <c r="Z68">
        <v>0</v>
      </c>
      <c r="AA68">
        <v>25000</v>
      </c>
      <c r="AB68">
        <v>0</v>
      </c>
      <c r="AC68">
        <v>0</v>
      </c>
      <c r="AD68">
        <v>0</v>
      </c>
      <c r="AE68" t="s">
        <v>76</v>
      </c>
    </row>
    <row r="69" spans="1:31">
      <c r="A69" t="s">
        <v>0</v>
      </c>
      <c r="B69">
        <v>0</v>
      </c>
      <c r="C69">
        <v>1</v>
      </c>
      <c r="D69">
        <v>1</v>
      </c>
      <c r="E69">
        <v>400451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76</v>
      </c>
      <c r="O69" t="b">
        <f t="shared" si="4"/>
        <v>1</v>
      </c>
      <c r="P69" t="b">
        <f t="shared" si="5"/>
        <v>1</v>
      </c>
      <c r="Q69" t="b">
        <f t="shared" si="6"/>
        <v>1</v>
      </c>
      <c r="R69" t="b">
        <f t="shared" si="7"/>
        <v>1</v>
      </c>
      <c r="S69" t="s">
        <v>127</v>
      </c>
      <c r="T69">
        <v>0</v>
      </c>
      <c r="U69">
        <v>1</v>
      </c>
      <c r="V69">
        <v>1</v>
      </c>
      <c r="W69">
        <v>400451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76</v>
      </c>
    </row>
    <row r="70" spans="1:31">
      <c r="A70" t="s">
        <v>0</v>
      </c>
      <c r="B70">
        <v>0</v>
      </c>
      <c r="C70">
        <v>1</v>
      </c>
      <c r="D70">
        <v>1</v>
      </c>
      <c r="E70">
        <v>400452</v>
      </c>
      <c r="F70">
        <v>100000</v>
      </c>
      <c r="G70">
        <v>0</v>
      </c>
      <c r="H70">
        <v>0</v>
      </c>
      <c r="I70">
        <v>0</v>
      </c>
      <c r="J70">
        <v>100000</v>
      </c>
      <c r="K70">
        <v>0</v>
      </c>
      <c r="L70">
        <v>0</v>
      </c>
      <c r="M70">
        <v>0</v>
      </c>
      <c r="N70" t="s">
        <v>76</v>
      </c>
      <c r="O70" t="b">
        <f t="shared" si="4"/>
        <v>1</v>
      </c>
      <c r="P70" t="b">
        <f t="shared" si="5"/>
        <v>1</v>
      </c>
      <c r="Q70" t="b">
        <f t="shared" si="6"/>
        <v>1</v>
      </c>
      <c r="R70" t="b">
        <f t="shared" si="7"/>
        <v>1</v>
      </c>
      <c r="S70" t="s">
        <v>127</v>
      </c>
      <c r="T70">
        <v>0</v>
      </c>
      <c r="U70">
        <v>1</v>
      </c>
      <c r="V70">
        <v>1</v>
      </c>
      <c r="W70">
        <v>400452</v>
      </c>
      <c r="X70">
        <v>0</v>
      </c>
      <c r="Y70">
        <v>0</v>
      </c>
      <c r="Z70">
        <v>0</v>
      </c>
      <c r="AA70">
        <v>100000</v>
      </c>
      <c r="AB70">
        <v>0</v>
      </c>
      <c r="AC70">
        <v>0</v>
      </c>
      <c r="AD70">
        <v>0</v>
      </c>
      <c r="AE70" t="s">
        <v>76</v>
      </c>
    </row>
    <row r="71" spans="1:31">
      <c r="A71" t="s">
        <v>0</v>
      </c>
      <c r="B71">
        <v>0</v>
      </c>
      <c r="C71">
        <v>1</v>
      </c>
      <c r="D71">
        <v>1</v>
      </c>
      <c r="E71">
        <v>400454</v>
      </c>
      <c r="F71">
        <v>25000</v>
      </c>
      <c r="G71">
        <v>0</v>
      </c>
      <c r="H71">
        <v>0</v>
      </c>
      <c r="I71">
        <v>0</v>
      </c>
      <c r="J71">
        <v>25000</v>
      </c>
      <c r="K71">
        <v>0</v>
      </c>
      <c r="L71">
        <v>0</v>
      </c>
      <c r="M71">
        <v>0</v>
      </c>
      <c r="N71" t="s">
        <v>76</v>
      </c>
      <c r="O71" t="b">
        <f t="shared" si="4"/>
        <v>1</v>
      </c>
      <c r="P71" t="b">
        <f t="shared" si="5"/>
        <v>1</v>
      </c>
      <c r="Q71" t="b">
        <f t="shared" si="6"/>
        <v>1</v>
      </c>
      <c r="R71" t="b">
        <f t="shared" si="7"/>
        <v>1</v>
      </c>
      <c r="S71" t="s">
        <v>127</v>
      </c>
      <c r="T71">
        <v>0</v>
      </c>
      <c r="U71">
        <v>1</v>
      </c>
      <c r="V71">
        <v>1</v>
      </c>
      <c r="W71">
        <v>400454</v>
      </c>
      <c r="X71">
        <v>0</v>
      </c>
      <c r="Y71">
        <v>0</v>
      </c>
      <c r="Z71">
        <v>0</v>
      </c>
      <c r="AA71">
        <v>25000</v>
      </c>
      <c r="AB71">
        <v>0</v>
      </c>
      <c r="AC71">
        <v>0</v>
      </c>
      <c r="AD71">
        <v>0</v>
      </c>
      <c r="AE71" t="s">
        <v>76</v>
      </c>
    </row>
    <row r="72" spans="1:31">
      <c r="A72" t="s">
        <v>0</v>
      </c>
      <c r="B72">
        <v>0</v>
      </c>
      <c r="C72">
        <v>1</v>
      </c>
      <c r="D72">
        <v>1</v>
      </c>
      <c r="E72">
        <v>400455</v>
      </c>
      <c r="F72">
        <v>100000</v>
      </c>
      <c r="G72">
        <v>0</v>
      </c>
      <c r="H72">
        <v>0</v>
      </c>
      <c r="I72">
        <v>0</v>
      </c>
      <c r="J72">
        <v>100000</v>
      </c>
      <c r="K72">
        <v>0</v>
      </c>
      <c r="L72">
        <v>0</v>
      </c>
      <c r="M72">
        <v>0</v>
      </c>
      <c r="N72" t="s">
        <v>76</v>
      </c>
      <c r="O72" t="b">
        <f t="shared" si="4"/>
        <v>1</v>
      </c>
      <c r="P72" t="b">
        <f t="shared" si="5"/>
        <v>1</v>
      </c>
      <c r="Q72" t="b">
        <f t="shared" si="6"/>
        <v>1</v>
      </c>
      <c r="R72" t="b">
        <f t="shared" si="7"/>
        <v>1</v>
      </c>
      <c r="S72" t="s">
        <v>127</v>
      </c>
      <c r="T72">
        <v>0</v>
      </c>
      <c r="U72">
        <v>1</v>
      </c>
      <c r="V72">
        <v>1</v>
      </c>
      <c r="W72">
        <v>400455</v>
      </c>
      <c r="X72">
        <v>0</v>
      </c>
      <c r="Y72">
        <v>0</v>
      </c>
      <c r="Z72">
        <v>0</v>
      </c>
      <c r="AA72">
        <v>100000</v>
      </c>
      <c r="AB72">
        <v>0</v>
      </c>
      <c r="AC72">
        <v>0</v>
      </c>
      <c r="AD72">
        <v>0</v>
      </c>
      <c r="AE72" t="s">
        <v>76</v>
      </c>
    </row>
    <row r="73" spans="1:31">
      <c r="A73" t="s">
        <v>0</v>
      </c>
      <c r="B73">
        <v>0</v>
      </c>
      <c r="C73">
        <v>1</v>
      </c>
      <c r="D73">
        <v>1</v>
      </c>
      <c r="E73">
        <v>400456</v>
      </c>
      <c r="F73">
        <v>250000</v>
      </c>
      <c r="G73">
        <v>0</v>
      </c>
      <c r="H73">
        <v>0</v>
      </c>
      <c r="I73">
        <v>0</v>
      </c>
      <c r="J73">
        <v>250000</v>
      </c>
      <c r="K73">
        <v>0</v>
      </c>
      <c r="L73">
        <v>0</v>
      </c>
      <c r="M73">
        <v>0</v>
      </c>
      <c r="N73" t="s">
        <v>76</v>
      </c>
      <c r="O73" t="b">
        <f t="shared" si="4"/>
        <v>1</v>
      </c>
      <c r="P73" t="b">
        <f t="shared" si="5"/>
        <v>1</v>
      </c>
      <c r="Q73" t="b">
        <f t="shared" si="6"/>
        <v>1</v>
      </c>
      <c r="R73" t="b">
        <f t="shared" si="7"/>
        <v>1</v>
      </c>
      <c r="S73" t="s">
        <v>127</v>
      </c>
      <c r="T73">
        <v>0</v>
      </c>
      <c r="U73">
        <v>1</v>
      </c>
      <c r="V73">
        <v>1</v>
      </c>
      <c r="W73">
        <v>400456</v>
      </c>
      <c r="X73">
        <v>0</v>
      </c>
      <c r="Y73">
        <v>0</v>
      </c>
      <c r="Z73">
        <v>0</v>
      </c>
      <c r="AA73">
        <v>250000</v>
      </c>
      <c r="AB73">
        <v>0</v>
      </c>
      <c r="AC73">
        <v>0</v>
      </c>
      <c r="AD73">
        <v>0</v>
      </c>
      <c r="AE73" t="s">
        <v>76</v>
      </c>
    </row>
    <row r="74" spans="1:31">
      <c r="A74" t="s">
        <v>0</v>
      </c>
      <c r="B74">
        <v>0</v>
      </c>
      <c r="C74">
        <v>1</v>
      </c>
      <c r="D74">
        <v>1</v>
      </c>
      <c r="E74">
        <v>400457</v>
      </c>
      <c r="F74">
        <v>25000</v>
      </c>
      <c r="G74">
        <v>0</v>
      </c>
      <c r="H74">
        <v>0</v>
      </c>
      <c r="I74">
        <v>0</v>
      </c>
      <c r="J74">
        <v>25000</v>
      </c>
      <c r="K74">
        <v>0</v>
      </c>
      <c r="L74">
        <v>0</v>
      </c>
      <c r="M74">
        <v>0</v>
      </c>
      <c r="N74" t="s">
        <v>76</v>
      </c>
      <c r="O74" t="b">
        <f t="shared" si="4"/>
        <v>1</v>
      </c>
      <c r="P74" t="b">
        <f t="shared" si="5"/>
        <v>1</v>
      </c>
      <c r="Q74" t="b">
        <f t="shared" si="6"/>
        <v>1</v>
      </c>
      <c r="R74" t="b">
        <f t="shared" si="7"/>
        <v>1</v>
      </c>
      <c r="S74" t="s">
        <v>127</v>
      </c>
      <c r="T74">
        <v>0</v>
      </c>
      <c r="U74">
        <v>1</v>
      </c>
      <c r="V74">
        <v>1</v>
      </c>
      <c r="W74">
        <v>400457</v>
      </c>
      <c r="X74">
        <v>0</v>
      </c>
      <c r="Y74">
        <v>0</v>
      </c>
      <c r="Z74">
        <v>0</v>
      </c>
      <c r="AA74">
        <v>25000</v>
      </c>
      <c r="AB74">
        <v>0</v>
      </c>
      <c r="AC74">
        <v>0</v>
      </c>
      <c r="AD74">
        <v>0</v>
      </c>
      <c r="AE74" t="s">
        <v>76</v>
      </c>
    </row>
    <row r="75" spans="1:31">
      <c r="A75" t="s">
        <v>0</v>
      </c>
      <c r="B75">
        <v>0</v>
      </c>
      <c r="C75">
        <v>1</v>
      </c>
      <c r="D75">
        <v>1</v>
      </c>
      <c r="E75">
        <v>400458</v>
      </c>
      <c r="F75">
        <v>25000</v>
      </c>
      <c r="G75">
        <v>0</v>
      </c>
      <c r="H75">
        <v>0</v>
      </c>
      <c r="I75">
        <v>0</v>
      </c>
      <c r="J75">
        <v>25000</v>
      </c>
      <c r="K75">
        <v>0</v>
      </c>
      <c r="L75">
        <v>0</v>
      </c>
      <c r="M75">
        <v>0</v>
      </c>
      <c r="N75" t="s">
        <v>76</v>
      </c>
      <c r="O75" t="b">
        <f t="shared" si="4"/>
        <v>1</v>
      </c>
      <c r="P75" t="b">
        <f t="shared" si="5"/>
        <v>1</v>
      </c>
      <c r="Q75" t="b">
        <f t="shared" si="6"/>
        <v>1</v>
      </c>
      <c r="R75" t="b">
        <f t="shared" si="7"/>
        <v>1</v>
      </c>
      <c r="S75" t="s">
        <v>127</v>
      </c>
      <c r="T75">
        <v>0</v>
      </c>
      <c r="U75">
        <v>1</v>
      </c>
      <c r="V75">
        <v>1</v>
      </c>
      <c r="W75">
        <v>400458</v>
      </c>
      <c r="X75">
        <v>0</v>
      </c>
      <c r="Y75">
        <v>0</v>
      </c>
      <c r="Z75">
        <v>0</v>
      </c>
      <c r="AA75">
        <v>25000</v>
      </c>
      <c r="AB75">
        <v>0</v>
      </c>
      <c r="AC75">
        <v>0</v>
      </c>
      <c r="AD75">
        <v>0</v>
      </c>
      <c r="AE75" t="s">
        <v>76</v>
      </c>
    </row>
    <row r="76" spans="1:31">
      <c r="A76" t="s">
        <v>0</v>
      </c>
      <c r="B76">
        <v>0</v>
      </c>
      <c r="C76">
        <v>1</v>
      </c>
      <c r="D76">
        <v>1</v>
      </c>
      <c r="E76">
        <v>400459</v>
      </c>
      <c r="F76">
        <v>5000</v>
      </c>
      <c r="G76">
        <v>0</v>
      </c>
      <c r="H76">
        <v>0</v>
      </c>
      <c r="I76">
        <v>0</v>
      </c>
      <c r="J76">
        <v>5000</v>
      </c>
      <c r="K76">
        <v>0</v>
      </c>
      <c r="L76">
        <v>0</v>
      </c>
      <c r="M76">
        <v>0</v>
      </c>
      <c r="N76" t="s">
        <v>76</v>
      </c>
      <c r="O76" t="b">
        <f t="shared" si="4"/>
        <v>1</v>
      </c>
      <c r="P76" t="b">
        <f t="shared" si="5"/>
        <v>1</v>
      </c>
      <c r="Q76" t="b">
        <f t="shared" si="6"/>
        <v>1</v>
      </c>
      <c r="R76" t="b">
        <f t="shared" si="7"/>
        <v>1</v>
      </c>
      <c r="S76" t="s">
        <v>127</v>
      </c>
      <c r="T76">
        <v>0</v>
      </c>
      <c r="U76">
        <v>1</v>
      </c>
      <c r="V76">
        <v>1</v>
      </c>
      <c r="W76">
        <v>400459</v>
      </c>
      <c r="X76">
        <v>0</v>
      </c>
      <c r="Y76">
        <v>0</v>
      </c>
      <c r="Z76">
        <v>0</v>
      </c>
      <c r="AA76">
        <v>5000</v>
      </c>
      <c r="AB76">
        <v>0</v>
      </c>
      <c r="AC76">
        <v>0</v>
      </c>
      <c r="AD76">
        <v>0</v>
      </c>
      <c r="AE76" t="s">
        <v>76</v>
      </c>
    </row>
    <row r="77" spans="1:31">
      <c r="A77" t="s">
        <v>0</v>
      </c>
      <c r="B77">
        <v>0</v>
      </c>
      <c r="C77">
        <v>1</v>
      </c>
      <c r="D77">
        <v>1</v>
      </c>
      <c r="E77">
        <v>400460</v>
      </c>
      <c r="F77">
        <v>10000</v>
      </c>
      <c r="G77">
        <v>0</v>
      </c>
      <c r="H77">
        <v>0</v>
      </c>
      <c r="I77">
        <v>0</v>
      </c>
      <c r="J77">
        <v>10000</v>
      </c>
      <c r="K77">
        <v>0</v>
      </c>
      <c r="L77">
        <v>0</v>
      </c>
      <c r="M77">
        <v>0</v>
      </c>
      <c r="N77" t="s">
        <v>76</v>
      </c>
      <c r="O77" t="b">
        <f t="shared" si="4"/>
        <v>1</v>
      </c>
      <c r="P77" t="b">
        <f t="shared" si="5"/>
        <v>1</v>
      </c>
      <c r="Q77" t="b">
        <f t="shared" si="6"/>
        <v>1</v>
      </c>
      <c r="R77" t="b">
        <f t="shared" si="7"/>
        <v>1</v>
      </c>
      <c r="S77" t="s">
        <v>127</v>
      </c>
      <c r="T77">
        <v>0</v>
      </c>
      <c r="U77">
        <v>1</v>
      </c>
      <c r="V77">
        <v>1</v>
      </c>
      <c r="W77">
        <v>400460</v>
      </c>
      <c r="X77">
        <v>0</v>
      </c>
      <c r="Y77">
        <v>0</v>
      </c>
      <c r="Z77">
        <v>0</v>
      </c>
      <c r="AA77">
        <v>10000</v>
      </c>
      <c r="AB77">
        <v>0</v>
      </c>
      <c r="AC77">
        <v>0</v>
      </c>
      <c r="AD77">
        <v>0</v>
      </c>
      <c r="AE77" t="s">
        <v>76</v>
      </c>
    </row>
    <row r="78" spans="1:31">
      <c r="A78" t="s">
        <v>0</v>
      </c>
      <c r="B78">
        <v>0</v>
      </c>
      <c r="C78">
        <v>1</v>
      </c>
      <c r="D78">
        <v>1</v>
      </c>
      <c r="E78">
        <v>400461</v>
      </c>
      <c r="F78">
        <v>5000</v>
      </c>
      <c r="G78">
        <v>0</v>
      </c>
      <c r="H78">
        <v>0</v>
      </c>
      <c r="I78">
        <v>0</v>
      </c>
      <c r="J78">
        <v>5000</v>
      </c>
      <c r="K78">
        <v>0</v>
      </c>
      <c r="L78">
        <v>0</v>
      </c>
      <c r="M78">
        <v>0</v>
      </c>
      <c r="N78" t="s">
        <v>76</v>
      </c>
      <c r="O78" t="b">
        <f t="shared" si="4"/>
        <v>1</v>
      </c>
      <c r="P78" t="b">
        <f t="shared" si="5"/>
        <v>1</v>
      </c>
      <c r="Q78" t="b">
        <f t="shared" si="6"/>
        <v>1</v>
      </c>
      <c r="R78" t="b">
        <f t="shared" si="7"/>
        <v>1</v>
      </c>
      <c r="S78" t="s">
        <v>127</v>
      </c>
      <c r="T78">
        <v>0</v>
      </c>
      <c r="U78">
        <v>1</v>
      </c>
      <c r="V78">
        <v>1</v>
      </c>
      <c r="W78">
        <v>400461</v>
      </c>
      <c r="X78">
        <v>0</v>
      </c>
      <c r="Y78">
        <v>0</v>
      </c>
      <c r="Z78">
        <v>0</v>
      </c>
      <c r="AA78">
        <v>5000</v>
      </c>
      <c r="AB78">
        <v>0</v>
      </c>
      <c r="AC78">
        <v>0</v>
      </c>
      <c r="AD78">
        <v>0</v>
      </c>
      <c r="AE78" t="s">
        <v>76</v>
      </c>
    </row>
    <row r="79" spans="1:31">
      <c r="A79" t="s">
        <v>0</v>
      </c>
      <c r="B79">
        <v>0</v>
      </c>
      <c r="C79">
        <v>1</v>
      </c>
      <c r="D79">
        <v>1</v>
      </c>
      <c r="E79">
        <v>400462</v>
      </c>
      <c r="F79">
        <v>2500</v>
      </c>
      <c r="G79">
        <v>0</v>
      </c>
      <c r="H79">
        <v>0</v>
      </c>
      <c r="I79">
        <v>0</v>
      </c>
      <c r="J79">
        <v>2500</v>
      </c>
      <c r="K79">
        <v>0</v>
      </c>
      <c r="L79">
        <v>0</v>
      </c>
      <c r="M79">
        <v>0</v>
      </c>
      <c r="N79" t="s">
        <v>76</v>
      </c>
      <c r="O79" t="b">
        <f t="shared" si="4"/>
        <v>1</v>
      </c>
      <c r="P79" t="b">
        <f t="shared" si="5"/>
        <v>1</v>
      </c>
      <c r="Q79" t="b">
        <f t="shared" si="6"/>
        <v>1</v>
      </c>
      <c r="R79" t="b">
        <f t="shared" si="7"/>
        <v>1</v>
      </c>
      <c r="S79" t="s">
        <v>127</v>
      </c>
      <c r="T79">
        <v>0</v>
      </c>
      <c r="U79">
        <v>1</v>
      </c>
      <c r="V79">
        <v>1</v>
      </c>
      <c r="W79">
        <v>400462</v>
      </c>
      <c r="X79">
        <v>0</v>
      </c>
      <c r="Y79">
        <v>0</v>
      </c>
      <c r="Z79">
        <v>0</v>
      </c>
      <c r="AA79">
        <v>2500</v>
      </c>
      <c r="AB79">
        <v>0</v>
      </c>
      <c r="AC79">
        <v>0</v>
      </c>
      <c r="AD79">
        <v>0</v>
      </c>
      <c r="AE79" t="s">
        <v>76</v>
      </c>
    </row>
    <row r="80" spans="1:31">
      <c r="A80" t="s">
        <v>0</v>
      </c>
      <c r="B80">
        <v>0</v>
      </c>
      <c r="C80">
        <v>1</v>
      </c>
      <c r="D80">
        <v>1</v>
      </c>
      <c r="E80">
        <v>400463</v>
      </c>
      <c r="F80">
        <v>15000</v>
      </c>
      <c r="G80">
        <v>0</v>
      </c>
      <c r="H80">
        <v>0</v>
      </c>
      <c r="I80">
        <v>0</v>
      </c>
      <c r="J80">
        <v>15000</v>
      </c>
      <c r="K80">
        <v>0</v>
      </c>
      <c r="L80">
        <v>0</v>
      </c>
      <c r="M80">
        <v>0</v>
      </c>
      <c r="N80" t="s">
        <v>76</v>
      </c>
      <c r="O80" t="b">
        <f t="shared" si="4"/>
        <v>1</v>
      </c>
      <c r="P80" t="b">
        <f t="shared" si="5"/>
        <v>1</v>
      </c>
      <c r="Q80" t="b">
        <f t="shared" si="6"/>
        <v>1</v>
      </c>
      <c r="R80" t="b">
        <f t="shared" si="7"/>
        <v>1</v>
      </c>
      <c r="S80" t="s">
        <v>127</v>
      </c>
      <c r="T80">
        <v>0</v>
      </c>
      <c r="U80">
        <v>1</v>
      </c>
      <c r="V80">
        <v>1</v>
      </c>
      <c r="W80">
        <v>400463</v>
      </c>
      <c r="X80">
        <v>0</v>
      </c>
      <c r="Y80">
        <v>0</v>
      </c>
      <c r="Z80">
        <v>0</v>
      </c>
      <c r="AA80">
        <v>15000</v>
      </c>
      <c r="AB80">
        <v>0</v>
      </c>
      <c r="AC80">
        <v>0</v>
      </c>
      <c r="AD80">
        <v>0</v>
      </c>
      <c r="AE80" t="s">
        <v>76</v>
      </c>
    </row>
    <row r="81" spans="1:31">
      <c r="A81" t="s">
        <v>0</v>
      </c>
      <c r="B81">
        <v>0</v>
      </c>
      <c r="C81">
        <v>1</v>
      </c>
      <c r="D81">
        <v>1</v>
      </c>
      <c r="E81">
        <v>400464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76</v>
      </c>
      <c r="O81" t="b">
        <f t="shared" si="4"/>
        <v>1</v>
      </c>
      <c r="P81" t="b">
        <f t="shared" si="5"/>
        <v>1</v>
      </c>
      <c r="Q81" t="b">
        <f t="shared" si="6"/>
        <v>1</v>
      </c>
      <c r="R81" t="b">
        <f t="shared" si="7"/>
        <v>1</v>
      </c>
      <c r="S81" t="s">
        <v>127</v>
      </c>
      <c r="T81">
        <v>0</v>
      </c>
      <c r="U81">
        <v>1</v>
      </c>
      <c r="V81">
        <v>1</v>
      </c>
      <c r="W81">
        <v>400464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76</v>
      </c>
    </row>
    <row r="82" spans="1:31">
      <c r="A82" t="s">
        <v>0</v>
      </c>
      <c r="B82">
        <v>0</v>
      </c>
      <c r="C82">
        <v>1</v>
      </c>
      <c r="D82">
        <v>1</v>
      </c>
      <c r="E82">
        <v>400465</v>
      </c>
      <c r="F82">
        <v>1000</v>
      </c>
      <c r="G82">
        <v>0</v>
      </c>
      <c r="H82">
        <v>0</v>
      </c>
      <c r="I82">
        <v>0</v>
      </c>
      <c r="J82">
        <v>1000</v>
      </c>
      <c r="K82">
        <v>0</v>
      </c>
      <c r="L82">
        <v>0</v>
      </c>
      <c r="M82">
        <v>0</v>
      </c>
      <c r="N82" t="s">
        <v>76</v>
      </c>
      <c r="O82" t="b">
        <f t="shared" si="4"/>
        <v>1</v>
      </c>
      <c r="P82" t="b">
        <f t="shared" si="5"/>
        <v>1</v>
      </c>
      <c r="Q82" t="b">
        <f t="shared" si="6"/>
        <v>1</v>
      </c>
      <c r="R82" t="b">
        <f t="shared" si="7"/>
        <v>1</v>
      </c>
      <c r="S82" t="s">
        <v>127</v>
      </c>
      <c r="T82">
        <v>0</v>
      </c>
      <c r="U82">
        <v>1</v>
      </c>
      <c r="V82">
        <v>1</v>
      </c>
      <c r="W82">
        <v>400465</v>
      </c>
      <c r="X82">
        <v>0</v>
      </c>
      <c r="Y82">
        <v>0</v>
      </c>
      <c r="Z82">
        <v>0</v>
      </c>
      <c r="AA82">
        <v>1000</v>
      </c>
      <c r="AB82">
        <v>0</v>
      </c>
      <c r="AC82">
        <v>0</v>
      </c>
      <c r="AD82">
        <v>0</v>
      </c>
      <c r="AE82" t="s">
        <v>76</v>
      </c>
    </row>
    <row r="83" spans="1:31">
      <c r="A83" t="s">
        <v>0</v>
      </c>
      <c r="B83">
        <v>0</v>
      </c>
      <c r="C83">
        <v>1</v>
      </c>
      <c r="D83">
        <v>1</v>
      </c>
      <c r="E83">
        <v>400466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76</v>
      </c>
      <c r="O83" t="b">
        <f t="shared" si="4"/>
        <v>1</v>
      </c>
      <c r="P83" t="b">
        <f t="shared" si="5"/>
        <v>1</v>
      </c>
      <c r="Q83" t="b">
        <f t="shared" si="6"/>
        <v>1</v>
      </c>
      <c r="R83" t="b">
        <f t="shared" si="7"/>
        <v>1</v>
      </c>
      <c r="S83" t="s">
        <v>127</v>
      </c>
      <c r="T83">
        <v>0</v>
      </c>
      <c r="U83">
        <v>1</v>
      </c>
      <c r="V83">
        <v>1</v>
      </c>
      <c r="W83">
        <v>400466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76</v>
      </c>
    </row>
    <row r="84" spans="1:31">
      <c r="A84" t="s">
        <v>0</v>
      </c>
      <c r="B84">
        <v>0</v>
      </c>
      <c r="C84">
        <v>1</v>
      </c>
      <c r="D84">
        <v>1</v>
      </c>
      <c r="E84">
        <v>400477</v>
      </c>
      <c r="F84">
        <v>25000</v>
      </c>
      <c r="G84">
        <v>0</v>
      </c>
      <c r="H84">
        <v>0</v>
      </c>
      <c r="I84">
        <v>0</v>
      </c>
      <c r="J84">
        <v>25000</v>
      </c>
      <c r="K84">
        <v>0</v>
      </c>
      <c r="L84">
        <v>0</v>
      </c>
      <c r="M84">
        <v>0</v>
      </c>
      <c r="N84" t="s">
        <v>76</v>
      </c>
      <c r="O84" t="b">
        <f t="shared" si="4"/>
        <v>1</v>
      </c>
      <c r="P84" t="b">
        <f t="shared" si="5"/>
        <v>1</v>
      </c>
      <c r="Q84" t="b">
        <f t="shared" si="6"/>
        <v>1</v>
      </c>
      <c r="R84" t="b">
        <f t="shared" si="7"/>
        <v>1</v>
      </c>
      <c r="S84" t="s">
        <v>127</v>
      </c>
      <c r="T84">
        <v>0</v>
      </c>
      <c r="U84">
        <v>1</v>
      </c>
      <c r="V84">
        <v>1</v>
      </c>
      <c r="W84">
        <v>400477</v>
      </c>
      <c r="X84">
        <v>0</v>
      </c>
      <c r="Y84">
        <v>0</v>
      </c>
      <c r="Z84">
        <v>0</v>
      </c>
      <c r="AA84">
        <v>25000</v>
      </c>
      <c r="AB84">
        <v>0</v>
      </c>
      <c r="AC84">
        <v>0</v>
      </c>
      <c r="AD84">
        <v>0</v>
      </c>
      <c r="AE84" t="s">
        <v>76</v>
      </c>
    </row>
    <row r="85" spans="1:31">
      <c r="A85" t="s">
        <v>0</v>
      </c>
      <c r="B85">
        <v>0</v>
      </c>
      <c r="C85">
        <v>1</v>
      </c>
      <c r="D85">
        <v>1</v>
      </c>
      <c r="E85">
        <v>400478</v>
      </c>
      <c r="F85">
        <v>25000</v>
      </c>
      <c r="G85">
        <v>0</v>
      </c>
      <c r="H85">
        <v>0</v>
      </c>
      <c r="I85">
        <v>0</v>
      </c>
      <c r="J85">
        <v>25000</v>
      </c>
      <c r="K85">
        <v>0</v>
      </c>
      <c r="L85">
        <v>0</v>
      </c>
      <c r="M85">
        <v>0</v>
      </c>
      <c r="N85" t="s">
        <v>76</v>
      </c>
      <c r="O85" t="b">
        <f t="shared" si="4"/>
        <v>1</v>
      </c>
      <c r="P85" t="b">
        <f t="shared" si="5"/>
        <v>1</v>
      </c>
      <c r="Q85" t="b">
        <f t="shared" si="6"/>
        <v>1</v>
      </c>
      <c r="R85" t="b">
        <f t="shared" si="7"/>
        <v>1</v>
      </c>
      <c r="S85" t="s">
        <v>127</v>
      </c>
      <c r="T85">
        <v>0</v>
      </c>
      <c r="U85">
        <v>1</v>
      </c>
      <c r="V85">
        <v>1</v>
      </c>
      <c r="W85">
        <v>400478</v>
      </c>
      <c r="X85">
        <v>0</v>
      </c>
      <c r="Y85">
        <v>0</v>
      </c>
      <c r="Z85">
        <v>0</v>
      </c>
      <c r="AA85">
        <v>25000</v>
      </c>
      <c r="AB85">
        <v>0</v>
      </c>
      <c r="AC85">
        <v>0</v>
      </c>
      <c r="AD85">
        <v>0</v>
      </c>
      <c r="AE85" t="s">
        <v>76</v>
      </c>
    </row>
    <row r="86" spans="1:31">
      <c r="A86" t="s">
        <v>0</v>
      </c>
      <c r="B86">
        <v>0</v>
      </c>
      <c r="C86">
        <v>1</v>
      </c>
      <c r="D86">
        <v>1</v>
      </c>
      <c r="E86">
        <v>400479</v>
      </c>
      <c r="F86">
        <v>10000</v>
      </c>
      <c r="G86">
        <v>0</v>
      </c>
      <c r="H86">
        <v>0</v>
      </c>
      <c r="I86">
        <v>0</v>
      </c>
      <c r="J86">
        <v>10000</v>
      </c>
      <c r="K86">
        <v>0</v>
      </c>
      <c r="L86">
        <v>0</v>
      </c>
      <c r="M86">
        <v>0</v>
      </c>
      <c r="N86" t="s">
        <v>76</v>
      </c>
      <c r="O86" t="b">
        <f t="shared" si="4"/>
        <v>1</v>
      </c>
      <c r="P86" t="b">
        <f t="shared" si="5"/>
        <v>1</v>
      </c>
      <c r="Q86" t="b">
        <f t="shared" si="6"/>
        <v>1</v>
      </c>
      <c r="R86" t="b">
        <f t="shared" si="7"/>
        <v>1</v>
      </c>
      <c r="S86" t="s">
        <v>127</v>
      </c>
      <c r="T86">
        <v>0</v>
      </c>
      <c r="U86">
        <v>1</v>
      </c>
      <c r="V86">
        <v>1</v>
      </c>
      <c r="W86">
        <v>400479</v>
      </c>
      <c r="X86">
        <v>0</v>
      </c>
      <c r="Y86">
        <v>0</v>
      </c>
      <c r="Z86">
        <v>0</v>
      </c>
      <c r="AA86">
        <v>10000</v>
      </c>
      <c r="AB86">
        <v>0</v>
      </c>
      <c r="AC86">
        <v>0</v>
      </c>
      <c r="AD86">
        <v>0</v>
      </c>
      <c r="AE86" t="s">
        <v>76</v>
      </c>
    </row>
    <row r="87" spans="1:31">
      <c r="A87" t="s">
        <v>0</v>
      </c>
      <c r="B87">
        <v>0</v>
      </c>
      <c r="C87">
        <v>1</v>
      </c>
      <c r="D87">
        <v>1</v>
      </c>
      <c r="E87">
        <v>400480</v>
      </c>
      <c r="F87">
        <v>15000</v>
      </c>
      <c r="G87">
        <v>0</v>
      </c>
      <c r="H87">
        <v>0</v>
      </c>
      <c r="I87">
        <v>0</v>
      </c>
      <c r="J87">
        <v>15000</v>
      </c>
      <c r="K87">
        <v>0</v>
      </c>
      <c r="L87">
        <v>0</v>
      </c>
      <c r="M87">
        <v>0</v>
      </c>
      <c r="N87" t="s">
        <v>76</v>
      </c>
      <c r="O87" t="b">
        <f t="shared" si="4"/>
        <v>1</v>
      </c>
      <c r="P87" t="b">
        <f t="shared" si="5"/>
        <v>1</v>
      </c>
      <c r="Q87" t="b">
        <f t="shared" si="6"/>
        <v>1</v>
      </c>
      <c r="R87" t="b">
        <f t="shared" si="7"/>
        <v>1</v>
      </c>
      <c r="S87" t="s">
        <v>127</v>
      </c>
      <c r="T87">
        <v>0</v>
      </c>
      <c r="U87">
        <v>1</v>
      </c>
      <c r="V87">
        <v>1</v>
      </c>
      <c r="W87">
        <v>400480</v>
      </c>
      <c r="X87">
        <v>0</v>
      </c>
      <c r="Y87">
        <v>0</v>
      </c>
      <c r="Z87">
        <v>0</v>
      </c>
      <c r="AA87">
        <v>15000</v>
      </c>
      <c r="AB87">
        <v>0</v>
      </c>
      <c r="AC87">
        <v>0</v>
      </c>
      <c r="AD87">
        <v>0</v>
      </c>
      <c r="AE87" t="s">
        <v>76</v>
      </c>
    </row>
    <row r="88" spans="1:31">
      <c r="A88" t="s">
        <v>0</v>
      </c>
      <c r="B88">
        <v>0</v>
      </c>
      <c r="C88">
        <v>1</v>
      </c>
      <c r="D88">
        <v>1</v>
      </c>
      <c r="E88">
        <v>400481</v>
      </c>
      <c r="F88">
        <v>3000</v>
      </c>
      <c r="G88">
        <v>0</v>
      </c>
      <c r="H88">
        <v>0</v>
      </c>
      <c r="I88">
        <v>0</v>
      </c>
      <c r="J88">
        <v>3000</v>
      </c>
      <c r="K88">
        <v>0</v>
      </c>
      <c r="L88">
        <v>0</v>
      </c>
      <c r="M88">
        <v>0</v>
      </c>
      <c r="N88" t="s">
        <v>76</v>
      </c>
      <c r="O88" t="b">
        <f t="shared" si="4"/>
        <v>1</v>
      </c>
      <c r="P88" t="b">
        <f t="shared" si="5"/>
        <v>1</v>
      </c>
      <c r="Q88" t="b">
        <f t="shared" si="6"/>
        <v>1</v>
      </c>
      <c r="R88" t="b">
        <f t="shared" si="7"/>
        <v>1</v>
      </c>
      <c r="S88" t="s">
        <v>127</v>
      </c>
      <c r="T88">
        <v>0</v>
      </c>
      <c r="U88">
        <v>1</v>
      </c>
      <c r="V88">
        <v>1</v>
      </c>
      <c r="W88">
        <v>400481</v>
      </c>
      <c r="X88">
        <v>0</v>
      </c>
      <c r="Y88">
        <v>0</v>
      </c>
      <c r="Z88">
        <v>0</v>
      </c>
      <c r="AA88">
        <v>3000</v>
      </c>
      <c r="AB88">
        <v>0</v>
      </c>
      <c r="AC88">
        <v>0</v>
      </c>
      <c r="AD88">
        <v>0</v>
      </c>
      <c r="AE88" t="s">
        <v>76</v>
      </c>
    </row>
    <row r="89" spans="1:31">
      <c r="A89" t="s">
        <v>0</v>
      </c>
      <c r="B89">
        <v>0</v>
      </c>
      <c r="C89">
        <v>1</v>
      </c>
      <c r="D89">
        <v>1</v>
      </c>
      <c r="E89">
        <v>400484</v>
      </c>
      <c r="F89">
        <v>50000</v>
      </c>
      <c r="G89">
        <v>0</v>
      </c>
      <c r="H89">
        <v>0</v>
      </c>
      <c r="I89">
        <v>0</v>
      </c>
      <c r="J89">
        <v>50000</v>
      </c>
      <c r="K89">
        <v>0</v>
      </c>
      <c r="L89">
        <v>0</v>
      </c>
      <c r="M89">
        <v>0</v>
      </c>
      <c r="N89" t="s">
        <v>76</v>
      </c>
      <c r="O89" t="b">
        <f t="shared" si="4"/>
        <v>1</v>
      </c>
      <c r="P89" t="b">
        <f t="shared" si="5"/>
        <v>1</v>
      </c>
      <c r="Q89" t="b">
        <f t="shared" si="6"/>
        <v>1</v>
      </c>
      <c r="R89" t="b">
        <f t="shared" si="7"/>
        <v>1</v>
      </c>
      <c r="S89" t="s">
        <v>127</v>
      </c>
      <c r="T89">
        <v>0</v>
      </c>
      <c r="U89">
        <v>1</v>
      </c>
      <c r="V89">
        <v>1</v>
      </c>
      <c r="W89">
        <v>400484</v>
      </c>
      <c r="X89">
        <v>0</v>
      </c>
      <c r="Y89">
        <v>0</v>
      </c>
      <c r="Z89">
        <v>0</v>
      </c>
      <c r="AA89">
        <v>50000</v>
      </c>
      <c r="AB89">
        <v>0</v>
      </c>
      <c r="AC89">
        <v>0</v>
      </c>
      <c r="AD89">
        <v>0</v>
      </c>
      <c r="AE89" t="s">
        <v>76</v>
      </c>
    </row>
    <row r="90" spans="1:31">
      <c r="A90" t="s">
        <v>0</v>
      </c>
      <c r="B90">
        <v>0</v>
      </c>
      <c r="C90">
        <v>1</v>
      </c>
      <c r="D90">
        <v>1</v>
      </c>
      <c r="E90">
        <v>400485</v>
      </c>
      <c r="F90">
        <v>300</v>
      </c>
      <c r="G90">
        <v>0</v>
      </c>
      <c r="H90">
        <v>0</v>
      </c>
      <c r="I90">
        <v>0</v>
      </c>
      <c r="J90">
        <v>300</v>
      </c>
      <c r="K90">
        <v>0</v>
      </c>
      <c r="L90">
        <v>0</v>
      </c>
      <c r="M90">
        <v>0</v>
      </c>
      <c r="N90" t="s">
        <v>76</v>
      </c>
      <c r="O90" t="b">
        <f t="shared" si="4"/>
        <v>1</v>
      </c>
      <c r="P90" t="b">
        <f t="shared" si="5"/>
        <v>1</v>
      </c>
      <c r="Q90" t="b">
        <f t="shared" si="6"/>
        <v>1</v>
      </c>
      <c r="R90" t="b">
        <f t="shared" si="7"/>
        <v>1</v>
      </c>
      <c r="S90" t="s">
        <v>127</v>
      </c>
      <c r="T90">
        <v>0</v>
      </c>
      <c r="U90">
        <v>1</v>
      </c>
      <c r="V90">
        <v>1</v>
      </c>
      <c r="W90">
        <v>400485</v>
      </c>
      <c r="X90">
        <v>0</v>
      </c>
      <c r="Y90">
        <v>0</v>
      </c>
      <c r="Z90">
        <v>0</v>
      </c>
      <c r="AA90">
        <v>300</v>
      </c>
      <c r="AB90">
        <v>0</v>
      </c>
      <c r="AC90">
        <v>0</v>
      </c>
      <c r="AD90">
        <v>0</v>
      </c>
      <c r="AE90" t="s">
        <v>76</v>
      </c>
    </row>
    <row r="91" spans="1:31">
      <c r="A91" t="s">
        <v>0</v>
      </c>
      <c r="B91">
        <v>0</v>
      </c>
      <c r="C91">
        <v>1</v>
      </c>
      <c r="D91">
        <v>1</v>
      </c>
      <c r="E91">
        <v>400486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76</v>
      </c>
      <c r="O91" t="b">
        <f t="shared" si="4"/>
        <v>1</v>
      </c>
      <c r="P91" t="b">
        <f t="shared" si="5"/>
        <v>1</v>
      </c>
      <c r="Q91" t="b">
        <f t="shared" si="6"/>
        <v>1</v>
      </c>
      <c r="R91" t="b">
        <f t="shared" si="7"/>
        <v>1</v>
      </c>
      <c r="S91" t="s">
        <v>127</v>
      </c>
      <c r="T91">
        <v>0</v>
      </c>
      <c r="U91">
        <v>1</v>
      </c>
      <c r="V91">
        <v>1</v>
      </c>
      <c r="W91">
        <v>400486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76</v>
      </c>
    </row>
    <row r="92" spans="1:31">
      <c r="A92" t="s">
        <v>0</v>
      </c>
      <c r="B92">
        <v>0</v>
      </c>
      <c r="C92">
        <v>1</v>
      </c>
      <c r="D92">
        <v>1</v>
      </c>
      <c r="E92">
        <v>400487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76</v>
      </c>
      <c r="O92" t="b">
        <f t="shared" si="4"/>
        <v>1</v>
      </c>
      <c r="P92" t="b">
        <f t="shared" si="5"/>
        <v>1</v>
      </c>
      <c r="Q92" t="b">
        <f t="shared" si="6"/>
        <v>1</v>
      </c>
      <c r="R92" t="b">
        <f t="shared" si="7"/>
        <v>1</v>
      </c>
      <c r="S92" t="s">
        <v>127</v>
      </c>
      <c r="T92">
        <v>0</v>
      </c>
      <c r="U92">
        <v>1</v>
      </c>
      <c r="V92">
        <v>1</v>
      </c>
      <c r="W92">
        <v>400487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76</v>
      </c>
    </row>
    <row r="93" spans="1:31">
      <c r="A93" t="s">
        <v>0</v>
      </c>
      <c r="B93">
        <v>0</v>
      </c>
      <c r="C93">
        <v>1</v>
      </c>
      <c r="D93">
        <v>1</v>
      </c>
      <c r="E93">
        <v>400488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76</v>
      </c>
      <c r="O93" t="b">
        <f t="shared" si="4"/>
        <v>1</v>
      </c>
      <c r="P93" t="b">
        <f t="shared" si="5"/>
        <v>1</v>
      </c>
      <c r="Q93" t="b">
        <f t="shared" si="6"/>
        <v>1</v>
      </c>
      <c r="R93" t="b">
        <f t="shared" si="7"/>
        <v>1</v>
      </c>
      <c r="S93" t="s">
        <v>127</v>
      </c>
      <c r="T93">
        <v>0</v>
      </c>
      <c r="U93">
        <v>1</v>
      </c>
      <c r="V93">
        <v>1</v>
      </c>
      <c r="W93">
        <v>400488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76</v>
      </c>
    </row>
    <row r="94" spans="1:31">
      <c r="A94" t="s">
        <v>0</v>
      </c>
      <c r="B94">
        <v>0</v>
      </c>
      <c r="C94">
        <v>1</v>
      </c>
      <c r="D94">
        <v>1</v>
      </c>
      <c r="E94">
        <v>400489</v>
      </c>
      <c r="F94">
        <v>50000</v>
      </c>
      <c r="G94">
        <v>0</v>
      </c>
      <c r="H94">
        <v>0</v>
      </c>
      <c r="I94">
        <v>0</v>
      </c>
      <c r="J94">
        <v>50000</v>
      </c>
      <c r="K94">
        <v>0</v>
      </c>
      <c r="L94">
        <v>0</v>
      </c>
      <c r="M94">
        <v>0</v>
      </c>
      <c r="N94" t="s">
        <v>76</v>
      </c>
      <c r="O94" t="b">
        <f t="shared" si="4"/>
        <v>1</v>
      </c>
      <c r="P94" t="b">
        <f t="shared" si="5"/>
        <v>1</v>
      </c>
      <c r="Q94" t="b">
        <f t="shared" si="6"/>
        <v>1</v>
      </c>
      <c r="R94" t="b">
        <f t="shared" si="7"/>
        <v>1</v>
      </c>
      <c r="S94" t="s">
        <v>127</v>
      </c>
      <c r="T94">
        <v>0</v>
      </c>
      <c r="U94">
        <v>1</v>
      </c>
      <c r="V94">
        <v>1</v>
      </c>
      <c r="W94">
        <v>400489</v>
      </c>
      <c r="X94">
        <v>0</v>
      </c>
      <c r="Y94">
        <v>0</v>
      </c>
      <c r="Z94">
        <v>0</v>
      </c>
      <c r="AA94">
        <v>50000</v>
      </c>
      <c r="AB94">
        <v>0</v>
      </c>
      <c r="AC94">
        <v>0</v>
      </c>
      <c r="AD94">
        <v>0</v>
      </c>
      <c r="AE94" t="s">
        <v>76</v>
      </c>
    </row>
    <row r="95" spans="1:31">
      <c r="A95" t="s">
        <v>0</v>
      </c>
      <c r="B95">
        <v>0</v>
      </c>
      <c r="C95">
        <v>1</v>
      </c>
      <c r="D95">
        <v>1</v>
      </c>
      <c r="E95">
        <v>400490</v>
      </c>
      <c r="F95">
        <v>2000</v>
      </c>
      <c r="G95">
        <v>0</v>
      </c>
      <c r="H95">
        <v>0</v>
      </c>
      <c r="I95">
        <v>0</v>
      </c>
      <c r="J95">
        <v>2000</v>
      </c>
      <c r="K95">
        <v>0</v>
      </c>
      <c r="L95">
        <v>0</v>
      </c>
      <c r="M95">
        <v>0</v>
      </c>
      <c r="N95" t="s">
        <v>76</v>
      </c>
      <c r="O95" t="b">
        <f t="shared" si="4"/>
        <v>1</v>
      </c>
      <c r="P95" t="b">
        <f t="shared" si="5"/>
        <v>1</v>
      </c>
      <c r="Q95" t="b">
        <f t="shared" si="6"/>
        <v>1</v>
      </c>
      <c r="R95" t="b">
        <f t="shared" si="7"/>
        <v>1</v>
      </c>
      <c r="S95" t="s">
        <v>127</v>
      </c>
      <c r="T95">
        <v>0</v>
      </c>
      <c r="U95">
        <v>1</v>
      </c>
      <c r="V95">
        <v>1</v>
      </c>
      <c r="W95">
        <v>400490</v>
      </c>
      <c r="X95">
        <v>0</v>
      </c>
      <c r="Y95">
        <v>0</v>
      </c>
      <c r="Z95">
        <v>0</v>
      </c>
      <c r="AA95">
        <v>2000</v>
      </c>
      <c r="AB95">
        <v>0</v>
      </c>
      <c r="AC95">
        <v>0</v>
      </c>
      <c r="AD95">
        <v>0</v>
      </c>
      <c r="AE95" t="s">
        <v>76</v>
      </c>
    </row>
    <row r="96" spans="1:31">
      <c r="A96" t="s">
        <v>0</v>
      </c>
      <c r="B96">
        <v>0</v>
      </c>
      <c r="C96">
        <v>1</v>
      </c>
      <c r="D96">
        <v>1</v>
      </c>
      <c r="E96">
        <v>400491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76</v>
      </c>
      <c r="O96" t="b">
        <f t="shared" si="4"/>
        <v>1</v>
      </c>
      <c r="P96" t="b">
        <f t="shared" si="5"/>
        <v>1</v>
      </c>
      <c r="Q96" t="b">
        <f t="shared" si="6"/>
        <v>1</v>
      </c>
      <c r="R96" t="b">
        <f t="shared" si="7"/>
        <v>1</v>
      </c>
      <c r="S96" t="s">
        <v>127</v>
      </c>
      <c r="T96">
        <v>0</v>
      </c>
      <c r="U96">
        <v>1</v>
      </c>
      <c r="V96">
        <v>1</v>
      </c>
      <c r="W96">
        <v>400491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76</v>
      </c>
    </row>
    <row r="97" spans="1:31">
      <c r="A97" t="s">
        <v>0</v>
      </c>
      <c r="B97">
        <v>0</v>
      </c>
      <c r="C97">
        <v>1</v>
      </c>
      <c r="D97">
        <v>1</v>
      </c>
      <c r="E97">
        <v>400492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123</v>
      </c>
      <c r="O97" t="b">
        <f t="shared" si="4"/>
        <v>1</v>
      </c>
      <c r="P97" t="b">
        <f t="shared" si="5"/>
        <v>1</v>
      </c>
      <c r="Q97" t="b">
        <f t="shared" si="6"/>
        <v>1</v>
      </c>
      <c r="R97" t="b">
        <f t="shared" si="7"/>
        <v>1</v>
      </c>
      <c r="S97" t="s">
        <v>127</v>
      </c>
      <c r="T97">
        <v>0</v>
      </c>
      <c r="U97">
        <v>1</v>
      </c>
      <c r="V97">
        <v>1</v>
      </c>
      <c r="W97">
        <v>400492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123</v>
      </c>
    </row>
    <row r="98" spans="1:31">
      <c r="A98" t="s">
        <v>0</v>
      </c>
      <c r="B98">
        <v>0</v>
      </c>
      <c r="C98">
        <v>1</v>
      </c>
      <c r="D98">
        <v>1</v>
      </c>
      <c r="E98">
        <v>400493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123</v>
      </c>
      <c r="O98" t="b">
        <f t="shared" si="4"/>
        <v>1</v>
      </c>
      <c r="P98" t="b">
        <f t="shared" si="5"/>
        <v>1</v>
      </c>
      <c r="Q98" t="b">
        <f t="shared" si="6"/>
        <v>1</v>
      </c>
      <c r="R98" t="b">
        <f t="shared" si="7"/>
        <v>1</v>
      </c>
      <c r="S98" t="s">
        <v>127</v>
      </c>
      <c r="T98">
        <v>0</v>
      </c>
      <c r="U98">
        <v>1</v>
      </c>
      <c r="V98">
        <v>1</v>
      </c>
      <c r="W98">
        <v>400493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123</v>
      </c>
    </row>
    <row r="99" spans="1:31">
      <c r="A99" t="s">
        <v>0</v>
      </c>
      <c r="B99">
        <v>0</v>
      </c>
      <c r="C99">
        <v>1</v>
      </c>
      <c r="D99">
        <v>1</v>
      </c>
      <c r="E99">
        <v>400494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123</v>
      </c>
      <c r="O99" t="b">
        <f t="shared" si="4"/>
        <v>1</v>
      </c>
      <c r="P99" t="b">
        <f t="shared" si="5"/>
        <v>1</v>
      </c>
      <c r="Q99" t="b">
        <f t="shared" si="6"/>
        <v>0</v>
      </c>
      <c r="R99" t="b">
        <f t="shared" si="7"/>
        <v>1</v>
      </c>
      <c r="S99" t="s">
        <v>127</v>
      </c>
      <c r="T99">
        <v>0</v>
      </c>
      <c r="U99">
        <v>1</v>
      </c>
      <c r="V99">
        <v>1</v>
      </c>
      <c r="W99">
        <v>400494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76</v>
      </c>
    </row>
    <row r="100" spans="1:31">
      <c r="A100" t="s">
        <v>0</v>
      </c>
      <c r="B100">
        <v>0</v>
      </c>
      <c r="C100">
        <v>1</v>
      </c>
      <c r="D100">
        <v>1</v>
      </c>
      <c r="E100">
        <v>400497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123</v>
      </c>
      <c r="O100" t="b">
        <f t="shared" si="4"/>
        <v>1</v>
      </c>
      <c r="P100" t="b">
        <f t="shared" si="5"/>
        <v>1</v>
      </c>
      <c r="Q100" t="b">
        <f t="shared" si="6"/>
        <v>1</v>
      </c>
      <c r="R100" t="b">
        <f t="shared" si="7"/>
        <v>1</v>
      </c>
      <c r="S100" t="s">
        <v>127</v>
      </c>
      <c r="T100">
        <v>0</v>
      </c>
      <c r="U100">
        <v>1</v>
      </c>
      <c r="V100">
        <v>1</v>
      </c>
      <c r="W100">
        <v>400497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123</v>
      </c>
    </row>
    <row r="101" spans="1:31">
      <c r="A101" t="s">
        <v>0</v>
      </c>
      <c r="B101">
        <v>0</v>
      </c>
      <c r="C101">
        <v>1</v>
      </c>
      <c r="D101">
        <v>1</v>
      </c>
      <c r="E101">
        <v>400498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123</v>
      </c>
      <c r="O101" t="b">
        <f t="shared" ref="O101:O115" si="8">E101=W101</f>
        <v>1</v>
      </c>
      <c r="P101" t="b">
        <f t="shared" ref="P101:P115" si="9">(J101-H101)=AA101</f>
        <v>1</v>
      </c>
      <c r="Q101" t="b">
        <f t="shared" ref="Q101:Q115" si="10">N101=AE101</f>
        <v>1</v>
      </c>
      <c r="R101" t="b">
        <f t="shared" ref="R101:R115" si="11">K101=AB101</f>
        <v>1</v>
      </c>
      <c r="S101" t="s">
        <v>127</v>
      </c>
      <c r="T101">
        <v>0</v>
      </c>
      <c r="U101">
        <v>1</v>
      </c>
      <c r="V101">
        <v>1</v>
      </c>
      <c r="W101">
        <v>400498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123</v>
      </c>
    </row>
    <row r="102" spans="1:31">
      <c r="A102" t="s">
        <v>0</v>
      </c>
      <c r="B102">
        <v>0</v>
      </c>
      <c r="C102">
        <v>1</v>
      </c>
      <c r="D102">
        <v>1</v>
      </c>
      <c r="E102">
        <v>400499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123</v>
      </c>
      <c r="O102" t="b">
        <f t="shared" si="8"/>
        <v>1</v>
      </c>
      <c r="P102" t="b">
        <f t="shared" si="9"/>
        <v>1</v>
      </c>
      <c r="Q102" t="b">
        <f t="shared" si="10"/>
        <v>1</v>
      </c>
      <c r="R102" t="b">
        <f t="shared" si="11"/>
        <v>1</v>
      </c>
      <c r="S102" t="s">
        <v>127</v>
      </c>
      <c r="T102">
        <v>0</v>
      </c>
      <c r="U102">
        <v>1</v>
      </c>
      <c r="V102">
        <v>1</v>
      </c>
      <c r="W102">
        <v>400499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123</v>
      </c>
    </row>
    <row r="103" spans="1:31">
      <c r="A103" t="s">
        <v>0</v>
      </c>
      <c r="B103">
        <v>0</v>
      </c>
      <c r="C103">
        <v>1</v>
      </c>
      <c r="D103">
        <v>1</v>
      </c>
      <c r="E103">
        <v>400500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123</v>
      </c>
      <c r="O103" t="b">
        <f t="shared" si="8"/>
        <v>1</v>
      </c>
      <c r="P103" t="b">
        <f t="shared" si="9"/>
        <v>1</v>
      </c>
      <c r="Q103" t="b">
        <f t="shared" si="10"/>
        <v>1</v>
      </c>
      <c r="R103" t="b">
        <f t="shared" si="11"/>
        <v>1</v>
      </c>
      <c r="S103" t="s">
        <v>127</v>
      </c>
      <c r="T103">
        <v>0</v>
      </c>
      <c r="U103">
        <v>1</v>
      </c>
      <c r="V103">
        <v>1</v>
      </c>
      <c r="W103">
        <v>400500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123</v>
      </c>
    </row>
    <row r="104" spans="1:31">
      <c r="A104" t="s">
        <v>0</v>
      </c>
      <c r="B104">
        <v>0</v>
      </c>
      <c r="C104">
        <v>1</v>
      </c>
      <c r="D104">
        <v>1</v>
      </c>
      <c r="E104">
        <v>400501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123</v>
      </c>
      <c r="O104" t="b">
        <f t="shared" si="8"/>
        <v>1</v>
      </c>
      <c r="P104" t="b">
        <f t="shared" si="9"/>
        <v>1</v>
      </c>
      <c r="Q104" t="b">
        <f t="shared" si="10"/>
        <v>0</v>
      </c>
      <c r="R104" t="b">
        <f t="shared" si="11"/>
        <v>1</v>
      </c>
      <c r="S104" t="s">
        <v>127</v>
      </c>
      <c r="T104">
        <v>0</v>
      </c>
      <c r="U104">
        <v>1</v>
      </c>
      <c r="V104">
        <v>1</v>
      </c>
      <c r="W104">
        <v>400501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76</v>
      </c>
    </row>
    <row r="105" spans="1:31">
      <c r="A105" t="s">
        <v>0</v>
      </c>
      <c r="B105">
        <v>0</v>
      </c>
      <c r="C105">
        <v>1</v>
      </c>
      <c r="D105">
        <v>1</v>
      </c>
      <c r="E105">
        <v>400504</v>
      </c>
      <c r="F105">
        <v>0</v>
      </c>
      <c r="G105">
        <v>478</v>
      </c>
      <c r="H105">
        <v>0</v>
      </c>
      <c r="I105">
        <v>0</v>
      </c>
      <c r="J105">
        <v>0</v>
      </c>
      <c r="K105">
        <v>478</v>
      </c>
      <c r="L105">
        <v>0</v>
      </c>
      <c r="M105">
        <v>0</v>
      </c>
      <c r="N105" t="s">
        <v>76</v>
      </c>
      <c r="O105" t="b">
        <f t="shared" si="8"/>
        <v>0</v>
      </c>
      <c r="P105" t="b">
        <f t="shared" si="9"/>
        <v>1</v>
      </c>
      <c r="Q105" t="b">
        <f t="shared" si="10"/>
        <v>0</v>
      </c>
      <c r="R105" t="b">
        <f t="shared" si="11"/>
        <v>0</v>
      </c>
    </row>
    <row r="106" spans="1:31">
      <c r="O106" t="b">
        <f t="shared" si="8"/>
        <v>0</v>
      </c>
      <c r="P106" t="b">
        <f t="shared" si="9"/>
        <v>1</v>
      </c>
      <c r="Q106" t="b">
        <f t="shared" si="10"/>
        <v>0</v>
      </c>
      <c r="R106" t="b">
        <f t="shared" si="11"/>
        <v>0</v>
      </c>
      <c r="S106" t="s">
        <v>127</v>
      </c>
      <c r="T106">
        <v>0</v>
      </c>
      <c r="U106">
        <v>1</v>
      </c>
      <c r="V106">
        <v>1</v>
      </c>
      <c r="W106">
        <v>400505</v>
      </c>
      <c r="X106">
        <v>0</v>
      </c>
      <c r="Y106">
        <v>0</v>
      </c>
      <c r="Z106">
        <v>0</v>
      </c>
      <c r="AA106">
        <v>0</v>
      </c>
      <c r="AB106">
        <v>871</v>
      </c>
      <c r="AC106">
        <v>0</v>
      </c>
      <c r="AD106">
        <v>0</v>
      </c>
      <c r="AE106" t="s">
        <v>76</v>
      </c>
    </row>
    <row r="107" spans="1:31">
      <c r="A107" t="s">
        <v>0</v>
      </c>
      <c r="B107">
        <v>0</v>
      </c>
      <c r="C107">
        <v>1</v>
      </c>
      <c r="D107">
        <v>1</v>
      </c>
      <c r="E107">
        <v>400513</v>
      </c>
      <c r="F107">
        <v>18</v>
      </c>
      <c r="G107">
        <v>0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0</v>
      </c>
      <c r="N107" t="s">
        <v>76</v>
      </c>
      <c r="O107" t="b">
        <f t="shared" si="8"/>
        <v>1</v>
      </c>
      <c r="P107" t="b">
        <f t="shared" si="9"/>
        <v>1</v>
      </c>
      <c r="Q107" t="b">
        <f t="shared" si="10"/>
        <v>1</v>
      </c>
      <c r="R107" t="b">
        <f t="shared" si="11"/>
        <v>1</v>
      </c>
      <c r="S107" t="s">
        <v>127</v>
      </c>
      <c r="T107">
        <v>0</v>
      </c>
      <c r="U107">
        <v>1</v>
      </c>
      <c r="V107">
        <v>1</v>
      </c>
      <c r="W107">
        <v>400513</v>
      </c>
      <c r="X107">
        <v>0</v>
      </c>
      <c r="Y107">
        <v>0</v>
      </c>
      <c r="Z107">
        <v>0</v>
      </c>
      <c r="AA107">
        <v>18</v>
      </c>
      <c r="AB107">
        <v>0</v>
      </c>
      <c r="AC107">
        <v>0</v>
      </c>
      <c r="AD107">
        <v>0</v>
      </c>
      <c r="AE107" t="s">
        <v>76</v>
      </c>
    </row>
    <row r="108" spans="1:31">
      <c r="A108" t="s">
        <v>0</v>
      </c>
      <c r="B108">
        <v>0</v>
      </c>
      <c r="C108">
        <v>1</v>
      </c>
      <c r="D108">
        <v>1</v>
      </c>
      <c r="E108">
        <v>400520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76</v>
      </c>
      <c r="O108" t="b">
        <f t="shared" si="8"/>
        <v>1</v>
      </c>
      <c r="P108" t="b">
        <f t="shared" si="9"/>
        <v>1</v>
      </c>
      <c r="Q108" t="b">
        <f t="shared" si="10"/>
        <v>1</v>
      </c>
      <c r="R108" t="b">
        <f t="shared" si="11"/>
        <v>1</v>
      </c>
      <c r="S108" t="s">
        <v>127</v>
      </c>
      <c r="T108">
        <v>0</v>
      </c>
      <c r="U108">
        <v>1</v>
      </c>
      <c r="V108">
        <v>1</v>
      </c>
      <c r="W108">
        <v>400520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76</v>
      </c>
    </row>
    <row r="109" spans="1:31">
      <c r="A109" t="s">
        <v>0</v>
      </c>
      <c r="B109">
        <v>0</v>
      </c>
      <c r="C109">
        <v>1</v>
      </c>
      <c r="D109">
        <v>1</v>
      </c>
      <c r="E109">
        <v>400523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76</v>
      </c>
      <c r="O109" t="b">
        <f t="shared" si="8"/>
        <v>1</v>
      </c>
      <c r="P109" t="b">
        <f t="shared" si="9"/>
        <v>1</v>
      </c>
      <c r="Q109" t="b">
        <f t="shared" si="10"/>
        <v>1</v>
      </c>
      <c r="R109" t="b">
        <f t="shared" si="11"/>
        <v>1</v>
      </c>
      <c r="S109" t="s">
        <v>127</v>
      </c>
      <c r="T109">
        <v>0</v>
      </c>
      <c r="U109">
        <v>1</v>
      </c>
      <c r="V109">
        <v>1</v>
      </c>
      <c r="W109">
        <v>400523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76</v>
      </c>
    </row>
    <row r="110" spans="1:31">
      <c r="A110" t="s">
        <v>0</v>
      </c>
      <c r="B110">
        <v>0</v>
      </c>
      <c r="C110">
        <v>1</v>
      </c>
      <c r="D110">
        <v>1</v>
      </c>
      <c r="E110">
        <v>400524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76</v>
      </c>
      <c r="O110" t="b">
        <f t="shared" si="8"/>
        <v>1</v>
      </c>
      <c r="P110" t="b">
        <f t="shared" si="9"/>
        <v>1</v>
      </c>
      <c r="Q110" t="b">
        <f t="shared" si="10"/>
        <v>1</v>
      </c>
      <c r="R110" t="b">
        <f t="shared" si="11"/>
        <v>1</v>
      </c>
      <c r="S110" t="s">
        <v>127</v>
      </c>
      <c r="T110">
        <v>0</v>
      </c>
      <c r="U110">
        <v>1</v>
      </c>
      <c r="V110">
        <v>1</v>
      </c>
      <c r="W110">
        <v>400524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76</v>
      </c>
    </row>
    <row r="111" spans="1:31">
      <c r="A111" t="s">
        <v>0</v>
      </c>
      <c r="B111">
        <v>0</v>
      </c>
      <c r="C111">
        <v>1</v>
      </c>
      <c r="D111">
        <v>1</v>
      </c>
      <c r="E111">
        <v>400701</v>
      </c>
      <c r="F111">
        <v>100000</v>
      </c>
      <c r="G111">
        <v>0</v>
      </c>
      <c r="H111">
        <v>0</v>
      </c>
      <c r="I111">
        <v>0</v>
      </c>
      <c r="J111">
        <v>100000</v>
      </c>
      <c r="K111">
        <v>0</v>
      </c>
      <c r="L111">
        <v>0</v>
      </c>
      <c r="M111">
        <v>0</v>
      </c>
      <c r="N111" t="s">
        <v>76</v>
      </c>
      <c r="O111" t="b">
        <f t="shared" si="8"/>
        <v>1</v>
      </c>
      <c r="P111" t="b">
        <f t="shared" si="9"/>
        <v>1</v>
      </c>
      <c r="Q111" t="b">
        <f>N111=AE111</f>
        <v>0</v>
      </c>
      <c r="R111" t="b">
        <f t="shared" si="11"/>
        <v>1</v>
      </c>
      <c r="S111" t="s">
        <v>127</v>
      </c>
      <c r="T111">
        <v>0</v>
      </c>
      <c r="U111">
        <v>1</v>
      </c>
      <c r="V111">
        <v>1</v>
      </c>
      <c r="W111">
        <v>400701</v>
      </c>
      <c r="X111">
        <v>0</v>
      </c>
      <c r="Y111">
        <v>0</v>
      </c>
      <c r="Z111">
        <v>0</v>
      </c>
      <c r="AA111">
        <v>100000</v>
      </c>
      <c r="AB111">
        <v>0</v>
      </c>
      <c r="AC111">
        <v>0</v>
      </c>
      <c r="AD111">
        <v>0</v>
      </c>
      <c r="AE111" t="s">
        <v>123</v>
      </c>
    </row>
    <row r="112" spans="1:31">
      <c r="A112" t="s">
        <v>0</v>
      </c>
      <c r="B112">
        <v>0</v>
      </c>
      <c r="C112">
        <v>1</v>
      </c>
      <c r="D112">
        <v>1</v>
      </c>
      <c r="E112">
        <v>400702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76</v>
      </c>
      <c r="O112" t="b">
        <f t="shared" si="8"/>
        <v>1</v>
      </c>
      <c r="P112" t="b">
        <f t="shared" si="9"/>
        <v>1</v>
      </c>
      <c r="Q112" t="b">
        <f t="shared" si="10"/>
        <v>1</v>
      </c>
      <c r="R112" t="b">
        <f t="shared" si="11"/>
        <v>1</v>
      </c>
      <c r="S112" t="s">
        <v>127</v>
      </c>
      <c r="T112">
        <v>0</v>
      </c>
      <c r="U112">
        <v>1</v>
      </c>
      <c r="V112">
        <v>1</v>
      </c>
      <c r="W112">
        <v>400702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76</v>
      </c>
    </row>
    <row r="113" spans="1:31">
      <c r="A113" t="s">
        <v>0</v>
      </c>
      <c r="B113">
        <v>0</v>
      </c>
      <c r="C113">
        <v>1</v>
      </c>
      <c r="D113">
        <v>1</v>
      </c>
      <c r="E113">
        <v>400703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76</v>
      </c>
      <c r="O113" t="b">
        <f t="shared" si="8"/>
        <v>1</v>
      </c>
      <c r="P113" t="b">
        <f t="shared" si="9"/>
        <v>1</v>
      </c>
      <c r="Q113" t="b">
        <f t="shared" si="10"/>
        <v>1</v>
      </c>
      <c r="R113" t="b">
        <f t="shared" si="11"/>
        <v>1</v>
      </c>
      <c r="S113" t="s">
        <v>127</v>
      </c>
      <c r="T113">
        <v>0</v>
      </c>
      <c r="U113">
        <v>1</v>
      </c>
      <c r="V113">
        <v>1</v>
      </c>
      <c r="W113">
        <v>400703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76</v>
      </c>
    </row>
    <row r="114" spans="1:31">
      <c r="A114" t="s">
        <v>0</v>
      </c>
      <c r="B114">
        <v>0</v>
      </c>
      <c r="C114">
        <v>1</v>
      </c>
      <c r="D114">
        <v>1</v>
      </c>
      <c r="E114">
        <v>400999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123</v>
      </c>
      <c r="O114" t="b">
        <f t="shared" si="8"/>
        <v>1</v>
      </c>
      <c r="P114" t="b">
        <f t="shared" si="9"/>
        <v>1</v>
      </c>
      <c r="Q114" t="b">
        <f t="shared" si="10"/>
        <v>1</v>
      </c>
      <c r="R114" t="b">
        <f t="shared" si="11"/>
        <v>1</v>
      </c>
      <c r="S114" t="s">
        <v>127</v>
      </c>
      <c r="T114">
        <v>0</v>
      </c>
      <c r="U114">
        <v>1</v>
      </c>
      <c r="V114">
        <v>1</v>
      </c>
      <c r="W114">
        <v>400999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123</v>
      </c>
    </row>
    <row r="115" spans="1:31">
      <c r="A115" t="s">
        <v>0</v>
      </c>
      <c r="B115">
        <v>0</v>
      </c>
      <c r="C115">
        <v>1</v>
      </c>
      <c r="D115">
        <v>1</v>
      </c>
      <c r="E115">
        <v>999991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123</v>
      </c>
      <c r="O115" t="b">
        <f t="shared" si="8"/>
        <v>1</v>
      </c>
      <c r="P115" t="b">
        <f t="shared" si="9"/>
        <v>1</v>
      </c>
      <c r="Q115" t="b">
        <f t="shared" si="10"/>
        <v>1</v>
      </c>
      <c r="R115" t="b">
        <f t="shared" si="11"/>
        <v>1</v>
      </c>
      <c r="S115" t="s">
        <v>127</v>
      </c>
      <c r="T115">
        <v>0</v>
      </c>
      <c r="U115">
        <v>1</v>
      </c>
      <c r="V115">
        <v>1</v>
      </c>
      <c r="W115">
        <v>999991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123</v>
      </c>
    </row>
  </sheetData>
  <conditionalFormatting sqref="O2:R115">
    <cfRule type="containsText" dxfId="3" priority="1" operator="containsText" text="TRUE">
      <formula>NOT(ISERROR(SEARCH("TRUE",O2)))</formula>
    </cfRule>
    <cfRule type="containsText" dxfId="2" priority="2" operator="containsText" text="FALSE">
      <formula>NOT(ISERROR(SEARCH("FALSE",O2)))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1CC7-9A98-4332-B156-D4394F83DD47}">
  <dimension ref="A1:X115"/>
  <sheetViews>
    <sheetView topLeftCell="A88" workbookViewId="0">
      <selection activeCell="N111" sqref="N111"/>
    </sheetView>
  </sheetViews>
  <sheetFormatPr defaultRowHeight="15"/>
  <cols>
    <col min="7" max="7" width="9.7109375" customWidth="1"/>
    <col min="8" max="8" width="12" customWidth="1"/>
    <col min="10" max="10" width="7.5703125" customWidth="1"/>
    <col min="11" max="11" width="9.42578125" customWidth="1"/>
    <col min="24" max="24" width="18.85546875" bestFit="1" customWidth="1"/>
  </cols>
  <sheetData>
    <row r="1" spans="1:24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s="49" t="s">
        <v>140</v>
      </c>
      <c r="M1" s="49" t="s">
        <v>125</v>
      </c>
      <c r="N1" s="49" t="s">
        <v>126</v>
      </c>
      <c r="O1" s="49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135</v>
      </c>
      <c r="V1" t="s">
        <v>136</v>
      </c>
      <c r="W1" t="s">
        <v>137</v>
      </c>
      <c r="X1" t="s">
        <v>138</v>
      </c>
    </row>
    <row r="2" spans="1:24">
      <c r="A2" t="s">
        <v>0</v>
      </c>
      <c r="B2">
        <v>0</v>
      </c>
      <c r="C2">
        <v>1</v>
      </c>
      <c r="D2">
        <v>400101</v>
      </c>
      <c r="E2">
        <v>3888000</v>
      </c>
      <c r="F2">
        <v>5327</v>
      </c>
      <c r="G2">
        <v>0</v>
      </c>
      <c r="H2">
        <v>3888000</v>
      </c>
      <c r="I2">
        <v>5327</v>
      </c>
      <c r="J2" t="s">
        <v>76</v>
      </c>
      <c r="K2">
        <v>0</v>
      </c>
      <c r="L2" t="b">
        <f>D2=S2</f>
        <v>1</v>
      </c>
      <c r="M2" t="b">
        <f>(H2-G2)=V2</f>
        <v>0</v>
      </c>
      <c r="N2" t="b">
        <f>J2=X2</f>
        <v>1</v>
      </c>
      <c r="O2" t="b">
        <f>I2=W2</f>
        <v>0</v>
      </c>
      <c r="P2" t="s">
        <v>127</v>
      </c>
      <c r="Q2">
        <v>0</v>
      </c>
      <c r="R2">
        <v>1</v>
      </c>
      <c r="S2">
        <v>400101</v>
      </c>
      <c r="T2">
        <v>0</v>
      </c>
      <c r="U2">
        <v>0</v>
      </c>
      <c r="V2">
        <v>4199040</v>
      </c>
      <c r="W2">
        <v>8147</v>
      </c>
      <c r="X2" t="s">
        <v>76</v>
      </c>
    </row>
    <row r="3" spans="1:24">
      <c r="A3" t="s">
        <v>0</v>
      </c>
      <c r="B3">
        <v>0</v>
      </c>
      <c r="C3">
        <v>1</v>
      </c>
      <c r="D3">
        <v>400102</v>
      </c>
      <c r="E3">
        <v>10000</v>
      </c>
      <c r="F3">
        <v>96</v>
      </c>
      <c r="G3">
        <v>0</v>
      </c>
      <c r="H3">
        <v>10000</v>
      </c>
      <c r="I3">
        <v>96</v>
      </c>
      <c r="J3" t="s">
        <v>76</v>
      </c>
      <c r="K3">
        <v>0</v>
      </c>
      <c r="L3" t="b">
        <f t="shared" ref="L3:L33" si="0">D3=S3</f>
        <v>1</v>
      </c>
      <c r="M3" t="b">
        <f t="shared" ref="M3:M33" si="1">(H3-G3)=V3</f>
        <v>1</v>
      </c>
      <c r="N3" t="b">
        <f t="shared" ref="N3:N33" si="2">J3=X3</f>
        <v>1</v>
      </c>
      <c r="O3" t="b">
        <f t="shared" ref="O3:O33" si="3">I3=W3</f>
        <v>0</v>
      </c>
      <c r="P3" t="s">
        <v>127</v>
      </c>
      <c r="Q3">
        <v>0</v>
      </c>
      <c r="R3">
        <v>1</v>
      </c>
      <c r="S3">
        <v>400102</v>
      </c>
      <c r="T3">
        <v>0</v>
      </c>
      <c r="U3">
        <v>0</v>
      </c>
      <c r="V3">
        <v>10000</v>
      </c>
      <c r="W3">
        <v>127</v>
      </c>
      <c r="X3" t="s">
        <v>76</v>
      </c>
    </row>
    <row r="4" spans="1:24">
      <c r="A4" t="s">
        <v>0</v>
      </c>
      <c r="B4">
        <v>0</v>
      </c>
      <c r="C4">
        <v>1</v>
      </c>
      <c r="D4">
        <v>400103</v>
      </c>
      <c r="E4">
        <v>260000</v>
      </c>
      <c r="F4">
        <v>0</v>
      </c>
      <c r="G4">
        <v>0</v>
      </c>
      <c r="H4">
        <v>260000</v>
      </c>
      <c r="I4">
        <v>0</v>
      </c>
      <c r="J4" t="s">
        <v>76</v>
      </c>
      <c r="K4">
        <v>0</v>
      </c>
      <c r="L4" t="b">
        <f t="shared" si="0"/>
        <v>1</v>
      </c>
      <c r="M4" t="b">
        <f t="shared" si="1"/>
        <v>1</v>
      </c>
      <c r="N4" t="b">
        <f t="shared" si="2"/>
        <v>1</v>
      </c>
      <c r="O4" t="b">
        <f t="shared" si="3"/>
        <v>1</v>
      </c>
      <c r="P4" t="s">
        <v>127</v>
      </c>
      <c r="Q4">
        <v>0</v>
      </c>
      <c r="R4">
        <v>1</v>
      </c>
      <c r="S4">
        <v>400103</v>
      </c>
      <c r="T4">
        <v>0</v>
      </c>
      <c r="U4">
        <v>0</v>
      </c>
      <c r="V4">
        <v>260000</v>
      </c>
      <c r="W4">
        <v>0</v>
      </c>
      <c r="X4" t="s">
        <v>76</v>
      </c>
    </row>
    <row r="5" spans="1:24">
      <c r="A5" t="s">
        <v>0</v>
      </c>
      <c r="B5">
        <v>0</v>
      </c>
      <c r="C5">
        <v>1</v>
      </c>
      <c r="D5">
        <v>400104</v>
      </c>
      <c r="E5">
        <v>255000</v>
      </c>
      <c r="F5">
        <v>0</v>
      </c>
      <c r="G5">
        <v>0</v>
      </c>
      <c r="H5">
        <v>255000</v>
      </c>
      <c r="I5">
        <v>0</v>
      </c>
      <c r="J5" t="s">
        <v>76</v>
      </c>
      <c r="K5">
        <v>0</v>
      </c>
      <c r="L5" t="b">
        <f t="shared" si="0"/>
        <v>1</v>
      </c>
      <c r="M5" t="b">
        <f t="shared" si="1"/>
        <v>1</v>
      </c>
      <c r="N5" t="b">
        <f t="shared" si="2"/>
        <v>1</v>
      </c>
      <c r="O5" t="b">
        <f t="shared" si="3"/>
        <v>1</v>
      </c>
      <c r="P5" t="s">
        <v>127</v>
      </c>
      <c r="Q5">
        <v>0</v>
      </c>
      <c r="R5">
        <v>1</v>
      </c>
      <c r="S5">
        <v>400104</v>
      </c>
      <c r="T5">
        <v>0</v>
      </c>
      <c r="U5">
        <v>0</v>
      </c>
      <c r="V5">
        <v>255000</v>
      </c>
      <c r="W5">
        <v>0</v>
      </c>
      <c r="X5" t="s">
        <v>76</v>
      </c>
    </row>
    <row r="6" spans="1:24">
      <c r="A6" t="s">
        <v>0</v>
      </c>
      <c r="B6">
        <v>0</v>
      </c>
      <c r="C6">
        <v>1</v>
      </c>
      <c r="D6">
        <v>400105</v>
      </c>
      <c r="E6">
        <v>8</v>
      </c>
      <c r="F6">
        <v>0</v>
      </c>
      <c r="G6">
        <v>0</v>
      </c>
      <c r="H6">
        <v>8</v>
      </c>
      <c r="I6">
        <v>0</v>
      </c>
      <c r="J6" t="s">
        <v>76</v>
      </c>
      <c r="K6">
        <v>0</v>
      </c>
      <c r="L6" t="b">
        <f t="shared" si="0"/>
        <v>1</v>
      </c>
      <c r="M6" t="b">
        <f t="shared" si="1"/>
        <v>1</v>
      </c>
      <c r="N6" t="b">
        <f t="shared" si="2"/>
        <v>1</v>
      </c>
      <c r="O6" t="b">
        <f t="shared" si="3"/>
        <v>1</v>
      </c>
      <c r="P6" t="s">
        <v>127</v>
      </c>
      <c r="Q6">
        <v>0</v>
      </c>
      <c r="R6">
        <v>1</v>
      </c>
      <c r="S6">
        <v>400105</v>
      </c>
      <c r="T6">
        <v>0</v>
      </c>
      <c r="U6">
        <v>0</v>
      </c>
      <c r="V6">
        <v>8</v>
      </c>
      <c r="W6">
        <v>0</v>
      </c>
      <c r="X6" t="s">
        <v>76</v>
      </c>
    </row>
    <row r="7" spans="1:24">
      <c r="A7" t="s">
        <v>0</v>
      </c>
      <c r="B7">
        <v>0</v>
      </c>
      <c r="C7">
        <v>1</v>
      </c>
      <c r="D7">
        <v>400106</v>
      </c>
      <c r="E7">
        <v>255000</v>
      </c>
      <c r="F7">
        <v>0</v>
      </c>
      <c r="G7">
        <v>0</v>
      </c>
      <c r="H7">
        <v>255000</v>
      </c>
      <c r="I7">
        <v>0</v>
      </c>
      <c r="J7" t="s">
        <v>76</v>
      </c>
      <c r="K7">
        <v>0</v>
      </c>
      <c r="L7" t="b">
        <f t="shared" si="0"/>
        <v>1</v>
      </c>
      <c r="M7" t="b">
        <f t="shared" si="1"/>
        <v>1</v>
      </c>
      <c r="N7" t="b">
        <f t="shared" si="2"/>
        <v>1</v>
      </c>
      <c r="O7" t="b">
        <f t="shared" si="3"/>
        <v>1</v>
      </c>
      <c r="P7" t="s">
        <v>127</v>
      </c>
      <c r="Q7">
        <v>0</v>
      </c>
      <c r="R7">
        <v>1</v>
      </c>
      <c r="S7">
        <v>400106</v>
      </c>
      <c r="T7">
        <v>0</v>
      </c>
      <c r="U7">
        <v>0</v>
      </c>
      <c r="V7">
        <v>255000</v>
      </c>
      <c r="W7">
        <v>0</v>
      </c>
      <c r="X7" t="s">
        <v>76</v>
      </c>
    </row>
    <row r="8" spans="1:24">
      <c r="A8" t="s">
        <v>0</v>
      </c>
      <c r="B8">
        <v>0</v>
      </c>
      <c r="C8">
        <v>1</v>
      </c>
      <c r="D8">
        <v>400107</v>
      </c>
      <c r="E8">
        <v>0</v>
      </c>
      <c r="F8">
        <v>0</v>
      </c>
      <c r="G8">
        <v>0</v>
      </c>
      <c r="H8">
        <v>0</v>
      </c>
      <c r="I8">
        <v>0</v>
      </c>
      <c r="J8" t="s">
        <v>123</v>
      </c>
      <c r="K8">
        <v>0</v>
      </c>
      <c r="L8" t="b">
        <f t="shared" si="0"/>
        <v>1</v>
      </c>
      <c r="M8" t="b">
        <f t="shared" si="1"/>
        <v>1</v>
      </c>
      <c r="N8" t="b">
        <f t="shared" si="2"/>
        <v>1</v>
      </c>
      <c r="O8" t="b">
        <f t="shared" si="3"/>
        <v>1</v>
      </c>
      <c r="P8" t="s">
        <v>127</v>
      </c>
      <c r="Q8">
        <v>0</v>
      </c>
      <c r="R8">
        <v>1</v>
      </c>
      <c r="S8">
        <v>400107</v>
      </c>
      <c r="T8">
        <v>0</v>
      </c>
      <c r="U8">
        <v>0</v>
      </c>
      <c r="V8">
        <v>0</v>
      </c>
      <c r="W8">
        <v>0</v>
      </c>
      <c r="X8" t="s">
        <v>123</v>
      </c>
    </row>
    <row r="9" spans="1:24">
      <c r="A9" t="s">
        <v>0</v>
      </c>
      <c r="B9">
        <v>0</v>
      </c>
      <c r="C9">
        <v>1</v>
      </c>
      <c r="D9">
        <v>400108</v>
      </c>
      <c r="E9">
        <v>60</v>
      </c>
      <c r="F9">
        <v>0</v>
      </c>
      <c r="G9">
        <v>0</v>
      </c>
      <c r="H9">
        <v>60</v>
      </c>
      <c r="I9">
        <v>0</v>
      </c>
      <c r="J9" t="s">
        <v>76</v>
      </c>
      <c r="K9">
        <v>0</v>
      </c>
      <c r="L9" t="b">
        <f t="shared" si="0"/>
        <v>1</v>
      </c>
      <c r="M9" t="b">
        <f t="shared" si="1"/>
        <v>1</v>
      </c>
      <c r="N9" t="b">
        <f t="shared" si="2"/>
        <v>1</v>
      </c>
      <c r="O9" t="b">
        <f t="shared" si="3"/>
        <v>1</v>
      </c>
      <c r="P9" t="s">
        <v>127</v>
      </c>
      <c r="Q9">
        <v>0</v>
      </c>
      <c r="R9">
        <v>1</v>
      </c>
      <c r="S9">
        <v>400108</v>
      </c>
      <c r="T9">
        <v>0</v>
      </c>
      <c r="U9">
        <v>0</v>
      </c>
      <c r="V9">
        <v>60</v>
      </c>
      <c r="W9">
        <v>0</v>
      </c>
      <c r="X9" t="s">
        <v>76</v>
      </c>
    </row>
    <row r="10" spans="1:24">
      <c r="A10" t="s">
        <v>0</v>
      </c>
      <c r="B10">
        <v>0</v>
      </c>
      <c r="C10">
        <v>1</v>
      </c>
      <c r="D10">
        <v>400109</v>
      </c>
      <c r="E10">
        <v>240</v>
      </c>
      <c r="F10">
        <v>0</v>
      </c>
      <c r="G10">
        <v>0</v>
      </c>
      <c r="H10">
        <v>240</v>
      </c>
      <c r="I10">
        <v>0</v>
      </c>
      <c r="J10" t="s">
        <v>76</v>
      </c>
      <c r="K10">
        <v>0</v>
      </c>
      <c r="L10" t="b">
        <f t="shared" si="0"/>
        <v>1</v>
      </c>
      <c r="M10" t="b">
        <f t="shared" si="1"/>
        <v>1</v>
      </c>
      <c r="N10" t="b">
        <f t="shared" si="2"/>
        <v>1</v>
      </c>
      <c r="O10" t="b">
        <f t="shared" si="3"/>
        <v>1</v>
      </c>
      <c r="P10" t="s">
        <v>127</v>
      </c>
      <c r="Q10">
        <v>0</v>
      </c>
      <c r="R10">
        <v>1</v>
      </c>
      <c r="S10">
        <v>400109</v>
      </c>
      <c r="T10">
        <v>0</v>
      </c>
      <c r="U10">
        <v>0</v>
      </c>
      <c r="V10">
        <v>240</v>
      </c>
      <c r="W10">
        <v>0</v>
      </c>
      <c r="X10" t="s">
        <v>76</v>
      </c>
    </row>
    <row r="11" spans="1:24">
      <c r="A11" t="s">
        <v>0</v>
      </c>
      <c r="B11">
        <v>0</v>
      </c>
      <c r="C11">
        <v>1</v>
      </c>
      <c r="D11">
        <v>400110</v>
      </c>
      <c r="E11">
        <v>60000</v>
      </c>
      <c r="F11">
        <v>0</v>
      </c>
      <c r="G11">
        <v>0</v>
      </c>
      <c r="H11">
        <v>60000</v>
      </c>
      <c r="I11">
        <v>0</v>
      </c>
      <c r="J11" t="s">
        <v>76</v>
      </c>
      <c r="K11">
        <v>0</v>
      </c>
      <c r="L11" t="b">
        <f t="shared" si="0"/>
        <v>1</v>
      </c>
      <c r="M11" t="b">
        <f t="shared" si="1"/>
        <v>1</v>
      </c>
      <c r="N11" t="b">
        <f t="shared" si="2"/>
        <v>1</v>
      </c>
      <c r="O11" t="b">
        <f t="shared" si="3"/>
        <v>1</v>
      </c>
      <c r="P11" t="s">
        <v>127</v>
      </c>
      <c r="Q11">
        <v>0</v>
      </c>
      <c r="R11">
        <v>1</v>
      </c>
      <c r="S11">
        <v>400110</v>
      </c>
      <c r="T11">
        <v>0</v>
      </c>
      <c r="U11">
        <v>0</v>
      </c>
      <c r="V11">
        <v>60000</v>
      </c>
      <c r="W11">
        <v>0</v>
      </c>
      <c r="X11" t="s">
        <v>76</v>
      </c>
    </row>
    <row r="12" spans="1:24">
      <c r="A12" t="s">
        <v>0</v>
      </c>
      <c r="B12">
        <v>0</v>
      </c>
      <c r="C12">
        <v>1</v>
      </c>
      <c r="D12">
        <v>400111</v>
      </c>
      <c r="E12">
        <v>27500</v>
      </c>
      <c r="F12">
        <v>0</v>
      </c>
      <c r="G12">
        <v>0</v>
      </c>
      <c r="H12">
        <v>27500</v>
      </c>
      <c r="I12">
        <v>0</v>
      </c>
      <c r="J12" t="s">
        <v>76</v>
      </c>
      <c r="K12">
        <v>0</v>
      </c>
      <c r="L12" t="b">
        <f t="shared" si="0"/>
        <v>1</v>
      </c>
      <c r="M12" t="b">
        <f t="shared" si="1"/>
        <v>1</v>
      </c>
      <c r="N12" t="b">
        <f t="shared" si="2"/>
        <v>1</v>
      </c>
      <c r="O12" t="b">
        <f t="shared" si="3"/>
        <v>1</v>
      </c>
      <c r="P12" t="s">
        <v>127</v>
      </c>
      <c r="Q12">
        <v>0</v>
      </c>
      <c r="R12">
        <v>1</v>
      </c>
      <c r="S12">
        <v>400111</v>
      </c>
      <c r="T12">
        <v>0</v>
      </c>
      <c r="U12">
        <v>0</v>
      </c>
      <c r="V12">
        <v>27500</v>
      </c>
      <c r="W12">
        <v>0</v>
      </c>
      <c r="X12" t="s">
        <v>76</v>
      </c>
    </row>
    <row r="13" spans="1:24">
      <c r="A13" t="s">
        <v>0</v>
      </c>
      <c r="B13">
        <v>0</v>
      </c>
      <c r="C13">
        <v>1</v>
      </c>
      <c r="D13">
        <v>400112</v>
      </c>
      <c r="E13">
        <v>27500</v>
      </c>
      <c r="F13">
        <v>0</v>
      </c>
      <c r="G13">
        <v>0</v>
      </c>
      <c r="H13">
        <v>27500</v>
      </c>
      <c r="I13">
        <v>0</v>
      </c>
      <c r="J13" t="s">
        <v>76</v>
      </c>
      <c r="K13">
        <v>0</v>
      </c>
      <c r="L13" t="b">
        <f t="shared" si="0"/>
        <v>1</v>
      </c>
      <c r="M13" t="b">
        <f t="shared" si="1"/>
        <v>1</v>
      </c>
      <c r="N13" t="b">
        <f t="shared" si="2"/>
        <v>1</v>
      </c>
      <c r="O13" t="b">
        <f t="shared" si="3"/>
        <v>1</v>
      </c>
      <c r="P13" t="s">
        <v>127</v>
      </c>
      <c r="Q13">
        <v>0</v>
      </c>
      <c r="R13">
        <v>1</v>
      </c>
      <c r="S13">
        <v>400112</v>
      </c>
      <c r="T13">
        <v>0</v>
      </c>
      <c r="U13">
        <v>0</v>
      </c>
      <c r="V13">
        <v>27500</v>
      </c>
      <c r="W13">
        <v>0</v>
      </c>
      <c r="X13" t="s">
        <v>76</v>
      </c>
    </row>
    <row r="14" spans="1:24">
      <c r="A14" t="s">
        <v>0</v>
      </c>
      <c r="B14">
        <v>0</v>
      </c>
      <c r="C14">
        <v>1</v>
      </c>
      <c r="D14">
        <v>400113</v>
      </c>
      <c r="E14">
        <v>35000</v>
      </c>
      <c r="F14">
        <v>0</v>
      </c>
      <c r="G14">
        <v>0</v>
      </c>
      <c r="H14">
        <v>35000</v>
      </c>
      <c r="I14">
        <v>0</v>
      </c>
      <c r="J14" t="s">
        <v>76</v>
      </c>
      <c r="K14">
        <v>0</v>
      </c>
      <c r="L14" t="b">
        <f t="shared" si="0"/>
        <v>1</v>
      </c>
      <c r="M14" t="b">
        <f t="shared" si="1"/>
        <v>1</v>
      </c>
      <c r="N14" t="b">
        <f t="shared" si="2"/>
        <v>1</v>
      </c>
      <c r="O14" t="b">
        <f t="shared" si="3"/>
        <v>1</v>
      </c>
      <c r="P14" t="s">
        <v>127</v>
      </c>
      <c r="Q14">
        <v>0</v>
      </c>
      <c r="R14">
        <v>1</v>
      </c>
      <c r="S14">
        <v>400113</v>
      </c>
      <c r="T14">
        <v>0</v>
      </c>
      <c r="U14">
        <v>0</v>
      </c>
      <c r="V14">
        <v>35000</v>
      </c>
      <c r="W14">
        <v>0</v>
      </c>
      <c r="X14" t="s">
        <v>76</v>
      </c>
    </row>
    <row r="15" spans="1:24">
      <c r="A15" t="s">
        <v>0</v>
      </c>
      <c r="B15">
        <v>0</v>
      </c>
      <c r="C15">
        <v>1</v>
      </c>
      <c r="D15">
        <v>400114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76</v>
      </c>
      <c r="K15">
        <v>0</v>
      </c>
      <c r="L15" t="b">
        <f t="shared" si="0"/>
        <v>1</v>
      </c>
      <c r="M15" t="b">
        <f t="shared" si="1"/>
        <v>1</v>
      </c>
      <c r="N15" t="b">
        <f t="shared" si="2"/>
        <v>1</v>
      </c>
      <c r="O15" t="b">
        <f t="shared" si="3"/>
        <v>1</v>
      </c>
      <c r="P15" t="s">
        <v>127</v>
      </c>
      <c r="Q15">
        <v>0</v>
      </c>
      <c r="R15">
        <v>1</v>
      </c>
      <c r="S15">
        <v>400114</v>
      </c>
      <c r="T15">
        <v>0</v>
      </c>
      <c r="U15">
        <v>0</v>
      </c>
      <c r="V15">
        <v>0</v>
      </c>
      <c r="W15">
        <v>0</v>
      </c>
      <c r="X15" t="s">
        <v>76</v>
      </c>
    </row>
    <row r="16" spans="1:24">
      <c r="A16" t="s">
        <v>0</v>
      </c>
      <c r="B16">
        <v>0</v>
      </c>
      <c r="C16">
        <v>1</v>
      </c>
      <c r="D16">
        <v>400115</v>
      </c>
      <c r="E16">
        <v>260000</v>
      </c>
      <c r="F16">
        <v>0</v>
      </c>
      <c r="G16">
        <v>0</v>
      </c>
      <c r="H16">
        <v>260000</v>
      </c>
      <c r="I16">
        <v>0</v>
      </c>
      <c r="J16" t="s">
        <v>76</v>
      </c>
      <c r="K16">
        <v>0</v>
      </c>
      <c r="L16" t="b">
        <f t="shared" si="0"/>
        <v>1</v>
      </c>
      <c r="M16" t="b">
        <f t="shared" si="1"/>
        <v>1</v>
      </c>
      <c r="N16" t="b">
        <f t="shared" si="2"/>
        <v>1</v>
      </c>
      <c r="O16" t="b">
        <f t="shared" si="3"/>
        <v>1</v>
      </c>
      <c r="P16" t="s">
        <v>127</v>
      </c>
      <c r="Q16">
        <v>0</v>
      </c>
      <c r="R16">
        <v>1</v>
      </c>
      <c r="S16">
        <v>400115</v>
      </c>
      <c r="T16">
        <v>0</v>
      </c>
      <c r="U16">
        <v>0</v>
      </c>
      <c r="V16">
        <v>260000</v>
      </c>
      <c r="W16">
        <v>0</v>
      </c>
      <c r="X16" t="s">
        <v>76</v>
      </c>
    </row>
    <row r="17" spans="1:24">
      <c r="A17" t="s">
        <v>0</v>
      </c>
      <c r="B17">
        <v>0</v>
      </c>
      <c r="C17">
        <v>1</v>
      </c>
      <c r="D17">
        <v>400116</v>
      </c>
      <c r="E17">
        <v>51000</v>
      </c>
      <c r="F17">
        <v>0</v>
      </c>
      <c r="G17">
        <v>0</v>
      </c>
      <c r="H17">
        <v>51000</v>
      </c>
      <c r="I17">
        <v>0</v>
      </c>
      <c r="J17" t="s">
        <v>76</v>
      </c>
      <c r="K17">
        <v>0</v>
      </c>
      <c r="L17" t="b">
        <f t="shared" si="0"/>
        <v>1</v>
      </c>
      <c r="M17" t="b">
        <f t="shared" si="1"/>
        <v>1</v>
      </c>
      <c r="N17" t="b">
        <f t="shared" si="2"/>
        <v>1</v>
      </c>
      <c r="O17" t="b">
        <f t="shared" si="3"/>
        <v>1</v>
      </c>
      <c r="P17" t="s">
        <v>127</v>
      </c>
      <c r="Q17">
        <v>0</v>
      </c>
      <c r="R17">
        <v>1</v>
      </c>
      <c r="S17">
        <v>400116</v>
      </c>
      <c r="T17">
        <v>0</v>
      </c>
      <c r="U17">
        <v>0</v>
      </c>
      <c r="V17">
        <v>51000</v>
      </c>
      <c r="W17">
        <v>0</v>
      </c>
      <c r="X17" t="s">
        <v>76</v>
      </c>
    </row>
    <row r="18" spans="1:24">
      <c r="A18" t="s">
        <v>0</v>
      </c>
      <c r="B18">
        <v>0</v>
      </c>
      <c r="C18">
        <v>1</v>
      </c>
      <c r="D18">
        <v>400117</v>
      </c>
      <c r="E18">
        <v>52500</v>
      </c>
      <c r="F18">
        <v>0</v>
      </c>
      <c r="G18">
        <v>0</v>
      </c>
      <c r="H18">
        <v>52500</v>
      </c>
      <c r="I18">
        <v>0</v>
      </c>
      <c r="J18" t="s">
        <v>76</v>
      </c>
      <c r="K18">
        <v>0</v>
      </c>
      <c r="L18" t="b">
        <f t="shared" si="0"/>
        <v>1</v>
      </c>
      <c r="M18" t="b">
        <f t="shared" si="1"/>
        <v>1</v>
      </c>
      <c r="N18" t="b">
        <f t="shared" si="2"/>
        <v>1</v>
      </c>
      <c r="O18" t="b">
        <f t="shared" si="3"/>
        <v>1</v>
      </c>
      <c r="P18" t="s">
        <v>127</v>
      </c>
      <c r="Q18">
        <v>0</v>
      </c>
      <c r="R18">
        <v>1</v>
      </c>
      <c r="S18">
        <v>400117</v>
      </c>
      <c r="T18">
        <v>0</v>
      </c>
      <c r="U18">
        <v>0</v>
      </c>
      <c r="V18">
        <v>52500</v>
      </c>
      <c r="W18">
        <v>0</v>
      </c>
      <c r="X18" t="s">
        <v>76</v>
      </c>
    </row>
    <row r="19" spans="1:24">
      <c r="A19" t="s">
        <v>0</v>
      </c>
      <c r="B19">
        <v>0</v>
      </c>
      <c r="C19">
        <v>1</v>
      </c>
      <c r="D19">
        <v>400118</v>
      </c>
      <c r="E19">
        <v>10000</v>
      </c>
      <c r="F19">
        <v>0</v>
      </c>
      <c r="G19">
        <v>0</v>
      </c>
      <c r="H19">
        <v>10000</v>
      </c>
      <c r="I19">
        <v>0</v>
      </c>
      <c r="J19" t="s">
        <v>76</v>
      </c>
      <c r="K19">
        <v>0</v>
      </c>
      <c r="L19" t="b">
        <f t="shared" si="0"/>
        <v>1</v>
      </c>
      <c r="M19" t="b">
        <f t="shared" si="1"/>
        <v>1</v>
      </c>
      <c r="N19" t="b">
        <f t="shared" si="2"/>
        <v>1</v>
      </c>
      <c r="O19" t="b">
        <f t="shared" si="3"/>
        <v>1</v>
      </c>
      <c r="P19" t="s">
        <v>127</v>
      </c>
      <c r="Q19">
        <v>0</v>
      </c>
      <c r="R19">
        <v>1</v>
      </c>
      <c r="S19">
        <v>400118</v>
      </c>
      <c r="T19">
        <v>0</v>
      </c>
      <c r="U19">
        <v>0</v>
      </c>
      <c r="V19">
        <v>10000</v>
      </c>
      <c r="W19">
        <v>0</v>
      </c>
      <c r="X19" t="s">
        <v>76</v>
      </c>
    </row>
    <row r="20" spans="1:24">
      <c r="A20" t="s">
        <v>0</v>
      </c>
      <c r="B20">
        <v>0</v>
      </c>
      <c r="C20">
        <v>1</v>
      </c>
      <c r="D20">
        <v>400119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76</v>
      </c>
      <c r="K20">
        <v>0</v>
      </c>
      <c r="L20" t="b">
        <f t="shared" si="0"/>
        <v>1</v>
      </c>
      <c r="M20" t="b">
        <f t="shared" si="1"/>
        <v>1</v>
      </c>
      <c r="N20" t="b">
        <f t="shared" si="2"/>
        <v>1</v>
      </c>
      <c r="O20" t="b">
        <f t="shared" si="3"/>
        <v>1</v>
      </c>
      <c r="P20" t="s">
        <v>127</v>
      </c>
      <c r="Q20">
        <v>0</v>
      </c>
      <c r="R20">
        <v>1</v>
      </c>
      <c r="S20">
        <v>400119</v>
      </c>
      <c r="T20">
        <v>0</v>
      </c>
      <c r="U20">
        <v>0</v>
      </c>
      <c r="V20">
        <v>0</v>
      </c>
      <c r="W20">
        <v>0</v>
      </c>
      <c r="X20" t="s">
        <v>76</v>
      </c>
    </row>
    <row r="21" spans="1:24">
      <c r="A21" t="s">
        <v>0</v>
      </c>
      <c r="B21">
        <v>0</v>
      </c>
      <c r="C21">
        <v>1</v>
      </c>
      <c r="D21">
        <v>400120</v>
      </c>
      <c r="E21">
        <v>1250000</v>
      </c>
      <c r="F21">
        <v>0</v>
      </c>
      <c r="G21">
        <v>0</v>
      </c>
      <c r="H21">
        <v>1250000</v>
      </c>
      <c r="I21">
        <v>0</v>
      </c>
      <c r="J21" t="s">
        <v>76</v>
      </c>
      <c r="K21">
        <v>0</v>
      </c>
      <c r="L21" t="b">
        <f t="shared" si="0"/>
        <v>1</v>
      </c>
      <c r="M21" t="b">
        <f t="shared" si="1"/>
        <v>1</v>
      </c>
      <c r="N21" t="b">
        <f t="shared" si="2"/>
        <v>1</v>
      </c>
      <c r="O21" t="b">
        <f t="shared" si="3"/>
        <v>1</v>
      </c>
      <c r="P21" t="s">
        <v>127</v>
      </c>
      <c r="Q21">
        <v>0</v>
      </c>
      <c r="R21">
        <v>1</v>
      </c>
      <c r="S21">
        <v>400120</v>
      </c>
      <c r="T21">
        <v>0</v>
      </c>
      <c r="U21">
        <v>0</v>
      </c>
      <c r="V21">
        <v>1250000</v>
      </c>
      <c r="W21">
        <v>0</v>
      </c>
      <c r="X21" t="s">
        <v>76</v>
      </c>
    </row>
    <row r="22" spans="1:24">
      <c r="A22" t="s">
        <v>0</v>
      </c>
      <c r="B22">
        <v>0</v>
      </c>
      <c r="C22">
        <v>1</v>
      </c>
      <c r="D22">
        <v>400121</v>
      </c>
      <c r="E22">
        <v>60000</v>
      </c>
      <c r="F22">
        <v>0</v>
      </c>
      <c r="G22">
        <v>0</v>
      </c>
      <c r="H22">
        <v>60000</v>
      </c>
      <c r="I22">
        <v>0</v>
      </c>
      <c r="J22" t="s">
        <v>76</v>
      </c>
      <c r="K22">
        <v>0</v>
      </c>
      <c r="L22" t="b">
        <f t="shared" si="0"/>
        <v>1</v>
      </c>
      <c r="M22" t="b">
        <f t="shared" si="1"/>
        <v>1</v>
      </c>
      <c r="N22" t="b">
        <f t="shared" si="2"/>
        <v>1</v>
      </c>
      <c r="O22" t="b">
        <f t="shared" si="3"/>
        <v>1</v>
      </c>
      <c r="P22" t="s">
        <v>127</v>
      </c>
      <c r="Q22">
        <v>0</v>
      </c>
      <c r="R22">
        <v>1</v>
      </c>
      <c r="S22">
        <v>400121</v>
      </c>
      <c r="T22">
        <v>0</v>
      </c>
      <c r="U22">
        <v>0</v>
      </c>
      <c r="V22">
        <v>60000</v>
      </c>
      <c r="W22">
        <v>0</v>
      </c>
      <c r="X22" t="s">
        <v>76</v>
      </c>
    </row>
    <row r="23" spans="1:24">
      <c r="A23" t="s">
        <v>0</v>
      </c>
      <c r="B23">
        <v>0</v>
      </c>
      <c r="C23">
        <v>1</v>
      </c>
      <c r="D23">
        <v>400122</v>
      </c>
      <c r="E23">
        <v>255000</v>
      </c>
      <c r="F23">
        <v>0</v>
      </c>
      <c r="G23">
        <v>0</v>
      </c>
      <c r="H23">
        <v>255000</v>
      </c>
      <c r="I23">
        <v>0</v>
      </c>
      <c r="J23" t="s">
        <v>76</v>
      </c>
      <c r="K23">
        <v>0</v>
      </c>
      <c r="L23" t="b">
        <f t="shared" si="0"/>
        <v>1</v>
      </c>
      <c r="M23" t="b">
        <f t="shared" si="1"/>
        <v>1</v>
      </c>
      <c r="N23" t="b">
        <f t="shared" si="2"/>
        <v>1</v>
      </c>
      <c r="O23" t="b">
        <f t="shared" si="3"/>
        <v>1</v>
      </c>
      <c r="P23" t="s">
        <v>127</v>
      </c>
      <c r="Q23">
        <v>0</v>
      </c>
      <c r="R23">
        <v>1</v>
      </c>
      <c r="S23">
        <v>400122</v>
      </c>
      <c r="T23">
        <v>0</v>
      </c>
      <c r="U23">
        <v>0</v>
      </c>
      <c r="V23">
        <v>255000</v>
      </c>
      <c r="W23">
        <v>0</v>
      </c>
      <c r="X23" t="s">
        <v>76</v>
      </c>
    </row>
    <row r="24" spans="1:24">
      <c r="A24" t="s">
        <v>0</v>
      </c>
      <c r="B24">
        <v>0</v>
      </c>
      <c r="C24">
        <v>1</v>
      </c>
      <c r="D24">
        <v>400123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76</v>
      </c>
      <c r="K24">
        <v>0</v>
      </c>
      <c r="L24" t="b">
        <f t="shared" si="0"/>
        <v>1</v>
      </c>
      <c r="M24" t="b">
        <f t="shared" si="1"/>
        <v>1</v>
      </c>
      <c r="N24" t="b">
        <f t="shared" si="2"/>
        <v>1</v>
      </c>
      <c r="O24" t="b">
        <f t="shared" si="3"/>
        <v>1</v>
      </c>
      <c r="P24" t="s">
        <v>127</v>
      </c>
      <c r="Q24">
        <v>0</v>
      </c>
      <c r="R24">
        <v>1</v>
      </c>
      <c r="S24">
        <v>400123</v>
      </c>
      <c r="T24">
        <v>0</v>
      </c>
      <c r="U24">
        <v>0</v>
      </c>
      <c r="V24">
        <v>0</v>
      </c>
      <c r="W24">
        <v>0</v>
      </c>
      <c r="X24" t="s">
        <v>76</v>
      </c>
    </row>
    <row r="25" spans="1:24">
      <c r="A25" t="s">
        <v>0</v>
      </c>
      <c r="B25">
        <v>0</v>
      </c>
      <c r="C25">
        <v>1</v>
      </c>
      <c r="D25">
        <v>400124</v>
      </c>
      <c r="E25">
        <v>110000</v>
      </c>
      <c r="F25">
        <v>0</v>
      </c>
      <c r="G25">
        <v>0</v>
      </c>
      <c r="H25">
        <v>110000</v>
      </c>
      <c r="I25">
        <v>0</v>
      </c>
      <c r="J25" t="s">
        <v>76</v>
      </c>
      <c r="K25">
        <v>0</v>
      </c>
      <c r="L25" t="b">
        <f t="shared" si="0"/>
        <v>1</v>
      </c>
      <c r="M25" t="b">
        <f t="shared" si="1"/>
        <v>1</v>
      </c>
      <c r="N25" t="b">
        <f t="shared" si="2"/>
        <v>1</v>
      </c>
      <c r="O25" t="b">
        <f t="shared" si="3"/>
        <v>1</v>
      </c>
      <c r="P25" t="s">
        <v>127</v>
      </c>
      <c r="Q25">
        <v>0</v>
      </c>
      <c r="R25">
        <v>1</v>
      </c>
      <c r="S25">
        <v>400124</v>
      </c>
      <c r="T25">
        <v>0</v>
      </c>
      <c r="U25">
        <v>0</v>
      </c>
      <c r="V25">
        <v>110000</v>
      </c>
      <c r="W25">
        <v>0</v>
      </c>
      <c r="X25" t="s">
        <v>76</v>
      </c>
    </row>
    <row r="26" spans="1:24">
      <c r="A26" t="s">
        <v>0</v>
      </c>
      <c r="B26">
        <v>0</v>
      </c>
      <c r="C26">
        <v>1</v>
      </c>
      <c r="D26">
        <v>400125</v>
      </c>
      <c r="E26">
        <v>52500</v>
      </c>
      <c r="F26">
        <v>0</v>
      </c>
      <c r="G26">
        <v>0</v>
      </c>
      <c r="H26">
        <v>52500</v>
      </c>
      <c r="I26">
        <v>0</v>
      </c>
      <c r="J26" t="s">
        <v>76</v>
      </c>
      <c r="K26">
        <v>0</v>
      </c>
      <c r="L26" t="b">
        <f t="shared" si="0"/>
        <v>1</v>
      </c>
      <c r="M26" t="b">
        <f t="shared" si="1"/>
        <v>1</v>
      </c>
      <c r="N26" t="b">
        <f t="shared" si="2"/>
        <v>1</v>
      </c>
      <c r="O26" t="b">
        <f t="shared" si="3"/>
        <v>1</v>
      </c>
      <c r="P26" t="s">
        <v>127</v>
      </c>
      <c r="Q26">
        <v>0</v>
      </c>
      <c r="R26">
        <v>1</v>
      </c>
      <c r="S26">
        <v>400125</v>
      </c>
      <c r="T26">
        <v>0</v>
      </c>
      <c r="U26">
        <v>0</v>
      </c>
      <c r="V26">
        <v>52500</v>
      </c>
      <c r="W26">
        <v>0</v>
      </c>
      <c r="X26" t="s">
        <v>76</v>
      </c>
    </row>
    <row r="27" spans="1:24">
      <c r="A27" t="s">
        <v>0</v>
      </c>
      <c r="B27">
        <v>0</v>
      </c>
      <c r="C27">
        <v>1</v>
      </c>
      <c r="D27">
        <v>400126</v>
      </c>
      <c r="E27">
        <v>60000</v>
      </c>
      <c r="F27">
        <v>0</v>
      </c>
      <c r="G27">
        <v>0</v>
      </c>
      <c r="H27">
        <v>60000</v>
      </c>
      <c r="I27">
        <v>0</v>
      </c>
      <c r="J27" t="s">
        <v>76</v>
      </c>
      <c r="K27">
        <v>0</v>
      </c>
      <c r="L27" t="b">
        <f t="shared" si="0"/>
        <v>1</v>
      </c>
      <c r="M27" t="b">
        <f t="shared" si="1"/>
        <v>1</v>
      </c>
      <c r="N27" t="b">
        <f t="shared" si="2"/>
        <v>1</v>
      </c>
      <c r="O27" t="b">
        <f t="shared" si="3"/>
        <v>1</v>
      </c>
      <c r="P27" t="s">
        <v>127</v>
      </c>
      <c r="Q27">
        <v>0</v>
      </c>
      <c r="R27">
        <v>1</v>
      </c>
      <c r="S27">
        <v>400126</v>
      </c>
      <c r="T27">
        <v>0</v>
      </c>
      <c r="U27">
        <v>0</v>
      </c>
      <c r="V27">
        <v>60000</v>
      </c>
      <c r="W27">
        <v>0</v>
      </c>
      <c r="X27" t="s">
        <v>76</v>
      </c>
    </row>
    <row r="28" spans="1:24">
      <c r="A28" t="s">
        <v>0</v>
      </c>
      <c r="B28">
        <v>0</v>
      </c>
      <c r="C28">
        <v>1</v>
      </c>
      <c r="D28">
        <v>400127</v>
      </c>
      <c r="E28">
        <v>2000000</v>
      </c>
      <c r="F28">
        <v>1322</v>
      </c>
      <c r="G28">
        <v>0</v>
      </c>
      <c r="H28">
        <v>2000000</v>
      </c>
      <c r="I28">
        <v>1322</v>
      </c>
      <c r="J28" t="s">
        <v>76</v>
      </c>
      <c r="K28">
        <v>0</v>
      </c>
      <c r="L28" t="b">
        <f t="shared" si="0"/>
        <v>1</v>
      </c>
      <c r="M28" t="b">
        <f t="shared" si="1"/>
        <v>0</v>
      </c>
      <c r="N28" t="b">
        <f t="shared" si="2"/>
        <v>1</v>
      </c>
      <c r="O28" t="b">
        <f t="shared" si="3"/>
        <v>0</v>
      </c>
      <c r="P28" t="s">
        <v>127</v>
      </c>
      <c r="Q28">
        <v>0</v>
      </c>
      <c r="R28">
        <v>1</v>
      </c>
      <c r="S28">
        <v>400127</v>
      </c>
      <c r="T28">
        <v>0</v>
      </c>
      <c r="U28">
        <v>0</v>
      </c>
      <c r="V28">
        <v>1000000</v>
      </c>
      <c r="W28">
        <v>2268</v>
      </c>
      <c r="X28" t="s">
        <v>76</v>
      </c>
    </row>
    <row r="29" spans="1:24">
      <c r="A29" t="s">
        <v>0</v>
      </c>
      <c r="B29">
        <v>0</v>
      </c>
      <c r="C29">
        <v>1</v>
      </c>
      <c r="D29">
        <v>400128</v>
      </c>
      <c r="E29">
        <v>10000</v>
      </c>
      <c r="F29">
        <v>0</v>
      </c>
      <c r="G29">
        <v>0</v>
      </c>
      <c r="H29">
        <v>10000</v>
      </c>
      <c r="I29">
        <v>0</v>
      </c>
      <c r="J29" t="s">
        <v>76</v>
      </c>
      <c r="K29">
        <v>0</v>
      </c>
      <c r="L29" t="b">
        <f t="shared" si="0"/>
        <v>1</v>
      </c>
      <c r="M29" t="b">
        <f t="shared" si="1"/>
        <v>1</v>
      </c>
      <c r="N29" t="b">
        <f t="shared" si="2"/>
        <v>1</v>
      </c>
      <c r="O29" t="b">
        <f t="shared" si="3"/>
        <v>0</v>
      </c>
      <c r="P29" t="s">
        <v>127</v>
      </c>
      <c r="Q29">
        <v>0</v>
      </c>
      <c r="R29">
        <v>1</v>
      </c>
      <c r="S29">
        <v>400128</v>
      </c>
      <c r="T29">
        <v>0</v>
      </c>
      <c r="U29">
        <v>0</v>
      </c>
      <c r="V29">
        <v>10000</v>
      </c>
      <c r="W29">
        <v>84</v>
      </c>
      <c r="X29" t="s">
        <v>76</v>
      </c>
    </row>
    <row r="30" spans="1:24">
      <c r="A30" t="s">
        <v>0</v>
      </c>
      <c r="B30">
        <v>0</v>
      </c>
      <c r="C30">
        <v>1</v>
      </c>
      <c r="D30">
        <v>400129</v>
      </c>
      <c r="E30">
        <v>4000000</v>
      </c>
      <c r="F30">
        <v>0</v>
      </c>
      <c r="G30">
        <v>0</v>
      </c>
      <c r="H30">
        <v>4000000</v>
      </c>
      <c r="I30">
        <v>0</v>
      </c>
      <c r="J30" t="s">
        <v>76</v>
      </c>
      <c r="K30">
        <v>0</v>
      </c>
      <c r="L30" t="b">
        <f t="shared" si="0"/>
        <v>1</v>
      </c>
      <c r="M30" t="b">
        <f t="shared" si="1"/>
        <v>0</v>
      </c>
      <c r="N30" t="b">
        <f t="shared" si="2"/>
        <v>1</v>
      </c>
      <c r="O30" t="b">
        <f t="shared" si="3"/>
        <v>1</v>
      </c>
      <c r="P30" t="s">
        <v>127</v>
      </c>
      <c r="Q30">
        <v>0</v>
      </c>
      <c r="R30">
        <v>1</v>
      </c>
      <c r="S30">
        <v>400129</v>
      </c>
      <c r="T30">
        <v>0</v>
      </c>
      <c r="U30">
        <v>0</v>
      </c>
      <c r="V30">
        <v>2000000</v>
      </c>
      <c r="W30">
        <v>0</v>
      </c>
      <c r="X30" t="s">
        <v>76</v>
      </c>
    </row>
    <row r="31" spans="1:24">
      <c r="A31" t="s">
        <v>0</v>
      </c>
      <c r="B31">
        <v>0</v>
      </c>
      <c r="C31">
        <v>1</v>
      </c>
      <c r="D31">
        <v>400130</v>
      </c>
      <c r="E31">
        <v>350000</v>
      </c>
      <c r="F31">
        <v>0</v>
      </c>
      <c r="G31">
        <v>0</v>
      </c>
      <c r="H31">
        <v>350000</v>
      </c>
      <c r="I31">
        <v>0</v>
      </c>
      <c r="J31" t="s">
        <v>76</v>
      </c>
      <c r="K31">
        <v>0</v>
      </c>
      <c r="L31" t="b">
        <f t="shared" si="0"/>
        <v>1</v>
      </c>
      <c r="M31" t="b">
        <f t="shared" si="1"/>
        <v>1</v>
      </c>
      <c r="N31" t="b">
        <f t="shared" si="2"/>
        <v>1</v>
      </c>
      <c r="O31" t="b">
        <f t="shared" si="3"/>
        <v>1</v>
      </c>
      <c r="P31" t="s">
        <v>127</v>
      </c>
      <c r="Q31">
        <v>0</v>
      </c>
      <c r="R31">
        <v>1</v>
      </c>
      <c r="S31">
        <v>400130</v>
      </c>
      <c r="T31">
        <v>0</v>
      </c>
      <c r="U31">
        <v>0</v>
      </c>
      <c r="V31">
        <v>350000</v>
      </c>
      <c r="W31">
        <v>0</v>
      </c>
      <c r="X31" t="s">
        <v>76</v>
      </c>
    </row>
    <row r="32" spans="1:24">
      <c r="A32" t="s">
        <v>0</v>
      </c>
      <c r="B32">
        <v>0</v>
      </c>
      <c r="C32">
        <v>1</v>
      </c>
      <c r="D32">
        <v>400133</v>
      </c>
      <c r="E32">
        <v>255000</v>
      </c>
      <c r="F32">
        <v>0</v>
      </c>
      <c r="G32">
        <v>0</v>
      </c>
      <c r="H32">
        <v>255000</v>
      </c>
      <c r="I32">
        <v>0</v>
      </c>
      <c r="J32" t="s">
        <v>76</v>
      </c>
      <c r="K32">
        <v>0</v>
      </c>
      <c r="L32" t="b">
        <f t="shared" si="0"/>
        <v>1</v>
      </c>
      <c r="M32" t="b">
        <f t="shared" si="1"/>
        <v>1</v>
      </c>
      <c r="N32" t="b">
        <f t="shared" si="2"/>
        <v>1</v>
      </c>
      <c r="O32" t="b">
        <f t="shared" si="3"/>
        <v>1</v>
      </c>
      <c r="P32" t="s">
        <v>127</v>
      </c>
      <c r="Q32">
        <v>0</v>
      </c>
      <c r="R32">
        <v>1</v>
      </c>
      <c r="S32">
        <v>400133</v>
      </c>
      <c r="T32">
        <v>0</v>
      </c>
      <c r="U32">
        <v>0</v>
      </c>
      <c r="V32">
        <v>255000</v>
      </c>
      <c r="W32">
        <v>0</v>
      </c>
      <c r="X32" t="s">
        <v>76</v>
      </c>
    </row>
    <row r="33" spans="1:24">
      <c r="A33" t="s">
        <v>0</v>
      </c>
      <c r="B33">
        <v>0</v>
      </c>
      <c r="C33">
        <v>1</v>
      </c>
      <c r="D33">
        <v>400136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123</v>
      </c>
      <c r="K33">
        <v>0</v>
      </c>
      <c r="L33" t="b">
        <f t="shared" si="0"/>
        <v>1</v>
      </c>
      <c r="M33" t="b">
        <f t="shared" si="1"/>
        <v>1</v>
      </c>
      <c r="N33" t="b">
        <f t="shared" si="2"/>
        <v>1</v>
      </c>
      <c r="O33" t="b">
        <f t="shared" si="3"/>
        <v>1</v>
      </c>
      <c r="P33" t="s">
        <v>127</v>
      </c>
      <c r="Q33">
        <v>0</v>
      </c>
      <c r="R33">
        <v>1</v>
      </c>
      <c r="S33">
        <v>400136</v>
      </c>
      <c r="T33">
        <v>0</v>
      </c>
      <c r="U33">
        <v>0</v>
      </c>
      <c r="V33">
        <v>0</v>
      </c>
      <c r="W33">
        <v>0</v>
      </c>
      <c r="X33" t="s">
        <v>123</v>
      </c>
    </row>
    <row r="34" spans="1:24">
      <c r="A34" t="s">
        <v>0</v>
      </c>
      <c r="B34">
        <v>0</v>
      </c>
      <c r="C34">
        <v>1</v>
      </c>
      <c r="D34">
        <v>400150</v>
      </c>
      <c r="E34">
        <v>3898000</v>
      </c>
      <c r="F34">
        <v>198</v>
      </c>
      <c r="G34">
        <v>0</v>
      </c>
      <c r="H34">
        <v>3898000</v>
      </c>
      <c r="I34">
        <v>198</v>
      </c>
      <c r="J34" t="s">
        <v>76</v>
      </c>
      <c r="K34">
        <v>0</v>
      </c>
      <c r="L34" t="b">
        <f t="shared" ref="L34:L95" si="4">D34=S34</f>
        <v>1</v>
      </c>
      <c r="M34" t="b">
        <f t="shared" ref="M34:M95" si="5">(H34-G34)=V34</f>
        <v>0</v>
      </c>
      <c r="N34" t="b">
        <f t="shared" ref="N34:N95" si="6">J34=X34</f>
        <v>1</v>
      </c>
      <c r="O34" t="b">
        <f t="shared" ref="O34:O95" si="7">I34=W34</f>
        <v>0</v>
      </c>
      <c r="P34" t="s">
        <v>127</v>
      </c>
      <c r="Q34">
        <v>0</v>
      </c>
      <c r="R34">
        <v>1</v>
      </c>
      <c r="S34">
        <v>400150</v>
      </c>
      <c r="T34">
        <v>0</v>
      </c>
      <c r="U34">
        <v>0</v>
      </c>
      <c r="V34">
        <v>4209040</v>
      </c>
      <c r="W34">
        <v>303</v>
      </c>
      <c r="X34" t="s">
        <v>76</v>
      </c>
    </row>
    <row r="35" spans="1:24">
      <c r="A35" t="s">
        <v>0</v>
      </c>
      <c r="B35">
        <v>0</v>
      </c>
      <c r="C35">
        <v>1</v>
      </c>
      <c r="D35">
        <v>400151</v>
      </c>
      <c r="E35">
        <v>4000000</v>
      </c>
      <c r="F35">
        <v>0</v>
      </c>
      <c r="G35">
        <v>0</v>
      </c>
      <c r="H35">
        <v>4000000</v>
      </c>
      <c r="I35">
        <v>0</v>
      </c>
      <c r="J35" t="s">
        <v>76</v>
      </c>
      <c r="K35">
        <v>0</v>
      </c>
      <c r="L35" t="b">
        <f t="shared" si="4"/>
        <v>1</v>
      </c>
      <c r="M35" t="b">
        <f t="shared" si="5"/>
        <v>0</v>
      </c>
      <c r="N35" t="b">
        <f t="shared" si="6"/>
        <v>1</v>
      </c>
      <c r="O35" t="b">
        <f t="shared" si="7"/>
        <v>1</v>
      </c>
      <c r="P35" t="s">
        <v>127</v>
      </c>
      <c r="Q35">
        <v>0</v>
      </c>
      <c r="R35">
        <v>1</v>
      </c>
      <c r="S35">
        <v>400151</v>
      </c>
      <c r="T35">
        <v>0</v>
      </c>
      <c r="U35">
        <v>0</v>
      </c>
      <c r="V35">
        <v>2000000</v>
      </c>
      <c r="W35">
        <v>0</v>
      </c>
      <c r="X35" t="s">
        <v>76</v>
      </c>
    </row>
    <row r="36" spans="1:24">
      <c r="A36" t="s">
        <v>0</v>
      </c>
      <c r="B36">
        <v>0</v>
      </c>
      <c r="C36">
        <v>1</v>
      </c>
      <c r="D36">
        <v>400153</v>
      </c>
      <c r="E36">
        <v>15000</v>
      </c>
      <c r="F36">
        <v>0</v>
      </c>
      <c r="G36">
        <v>0</v>
      </c>
      <c r="H36">
        <v>15000</v>
      </c>
      <c r="I36">
        <v>0</v>
      </c>
      <c r="J36" t="s">
        <v>76</v>
      </c>
      <c r="K36">
        <v>0</v>
      </c>
      <c r="L36" t="b">
        <f t="shared" si="4"/>
        <v>1</v>
      </c>
      <c r="M36" t="b">
        <f t="shared" si="5"/>
        <v>1</v>
      </c>
      <c r="N36" t="b">
        <f t="shared" si="6"/>
        <v>1</v>
      </c>
      <c r="O36" t="b">
        <f t="shared" si="7"/>
        <v>1</v>
      </c>
      <c r="P36" t="s">
        <v>127</v>
      </c>
      <c r="Q36">
        <v>0</v>
      </c>
      <c r="R36">
        <v>1</v>
      </c>
      <c r="S36">
        <v>400153</v>
      </c>
      <c r="T36">
        <v>0</v>
      </c>
      <c r="U36">
        <v>0</v>
      </c>
      <c r="V36">
        <v>15000</v>
      </c>
      <c r="W36">
        <v>0</v>
      </c>
      <c r="X36" t="s">
        <v>76</v>
      </c>
    </row>
    <row r="37" spans="1:24">
      <c r="A37" t="s">
        <v>0</v>
      </c>
      <c r="B37">
        <v>0</v>
      </c>
      <c r="C37">
        <v>1</v>
      </c>
      <c r="D37">
        <v>400154</v>
      </c>
      <c r="E37">
        <v>15000</v>
      </c>
      <c r="F37">
        <v>0</v>
      </c>
      <c r="G37">
        <v>0</v>
      </c>
      <c r="H37">
        <v>15000</v>
      </c>
      <c r="I37">
        <v>0</v>
      </c>
      <c r="J37" t="s">
        <v>76</v>
      </c>
      <c r="K37">
        <v>0</v>
      </c>
      <c r="L37" t="b">
        <f t="shared" si="4"/>
        <v>1</v>
      </c>
      <c r="M37" t="b">
        <f t="shared" si="5"/>
        <v>1</v>
      </c>
      <c r="N37" t="b">
        <f t="shared" si="6"/>
        <v>1</v>
      </c>
      <c r="O37" t="b">
        <f t="shared" si="7"/>
        <v>1</v>
      </c>
      <c r="P37" t="s">
        <v>127</v>
      </c>
      <c r="Q37">
        <v>0</v>
      </c>
      <c r="R37">
        <v>1</v>
      </c>
      <c r="S37">
        <v>400154</v>
      </c>
      <c r="T37">
        <v>0</v>
      </c>
      <c r="U37">
        <v>0</v>
      </c>
      <c r="V37">
        <v>15000</v>
      </c>
      <c r="W37">
        <v>0</v>
      </c>
      <c r="X37" t="s">
        <v>76</v>
      </c>
    </row>
    <row r="38" spans="1:24">
      <c r="A38" t="s">
        <v>0</v>
      </c>
      <c r="B38">
        <v>0</v>
      </c>
      <c r="C38">
        <v>1</v>
      </c>
      <c r="D38">
        <v>400178</v>
      </c>
      <c r="E38">
        <v>50000</v>
      </c>
      <c r="F38">
        <v>0</v>
      </c>
      <c r="G38">
        <v>0</v>
      </c>
      <c r="H38">
        <v>50000</v>
      </c>
      <c r="I38">
        <v>0</v>
      </c>
      <c r="J38" t="s">
        <v>76</v>
      </c>
      <c r="K38">
        <v>0</v>
      </c>
      <c r="L38" t="b">
        <f t="shared" si="4"/>
        <v>1</v>
      </c>
      <c r="M38" t="b">
        <f t="shared" si="5"/>
        <v>1</v>
      </c>
      <c r="N38" t="b">
        <f t="shared" si="6"/>
        <v>1</v>
      </c>
      <c r="O38" t="b">
        <f t="shared" si="7"/>
        <v>1</v>
      </c>
      <c r="P38" t="s">
        <v>127</v>
      </c>
      <c r="Q38">
        <v>0</v>
      </c>
      <c r="R38">
        <v>1</v>
      </c>
      <c r="S38">
        <v>400178</v>
      </c>
      <c r="T38">
        <v>0</v>
      </c>
      <c r="U38">
        <v>0</v>
      </c>
      <c r="V38">
        <v>50000</v>
      </c>
      <c r="W38">
        <v>0</v>
      </c>
      <c r="X38" t="s">
        <v>76</v>
      </c>
    </row>
    <row r="39" spans="1:24">
      <c r="A39" t="s">
        <v>0</v>
      </c>
      <c r="B39">
        <v>0</v>
      </c>
      <c r="C39">
        <v>1</v>
      </c>
      <c r="D39">
        <v>400191</v>
      </c>
      <c r="E39">
        <v>275000</v>
      </c>
      <c r="F39">
        <v>0</v>
      </c>
      <c r="G39">
        <v>0</v>
      </c>
      <c r="H39">
        <v>275000</v>
      </c>
      <c r="I39">
        <v>0</v>
      </c>
      <c r="J39" t="s">
        <v>76</v>
      </c>
      <c r="K39">
        <v>0</v>
      </c>
      <c r="L39" t="b">
        <f t="shared" si="4"/>
        <v>1</v>
      </c>
      <c r="M39" t="b">
        <f t="shared" si="5"/>
        <v>1</v>
      </c>
      <c r="N39" t="b">
        <f t="shared" si="6"/>
        <v>1</v>
      </c>
      <c r="O39" t="b">
        <f t="shared" si="7"/>
        <v>1</v>
      </c>
      <c r="P39" t="s">
        <v>127</v>
      </c>
      <c r="Q39">
        <v>0</v>
      </c>
      <c r="R39">
        <v>1</v>
      </c>
      <c r="S39">
        <v>400191</v>
      </c>
      <c r="T39">
        <v>0</v>
      </c>
      <c r="U39">
        <v>0</v>
      </c>
      <c r="V39">
        <v>275000</v>
      </c>
      <c r="W39">
        <v>0</v>
      </c>
      <c r="X39" t="s">
        <v>76</v>
      </c>
    </row>
    <row r="40" spans="1:24">
      <c r="A40" t="s">
        <v>0</v>
      </c>
      <c r="B40">
        <v>0</v>
      </c>
      <c r="C40">
        <v>1</v>
      </c>
      <c r="D40">
        <v>400197</v>
      </c>
      <c r="E40">
        <v>75000</v>
      </c>
      <c r="F40">
        <v>142</v>
      </c>
      <c r="G40">
        <v>0</v>
      </c>
      <c r="H40">
        <v>75000</v>
      </c>
      <c r="I40">
        <v>142</v>
      </c>
      <c r="J40" t="s">
        <v>76</v>
      </c>
      <c r="K40">
        <v>0</v>
      </c>
      <c r="L40" t="b">
        <f t="shared" si="4"/>
        <v>1</v>
      </c>
      <c r="M40" t="b">
        <f t="shared" si="5"/>
        <v>1</v>
      </c>
      <c r="N40" t="b">
        <f t="shared" si="6"/>
        <v>1</v>
      </c>
      <c r="O40" t="b">
        <f t="shared" si="7"/>
        <v>1</v>
      </c>
      <c r="P40" t="s">
        <v>127</v>
      </c>
      <c r="Q40">
        <v>0</v>
      </c>
      <c r="R40">
        <v>1</v>
      </c>
      <c r="S40">
        <v>400197</v>
      </c>
      <c r="T40">
        <v>0</v>
      </c>
      <c r="U40">
        <v>0</v>
      </c>
      <c r="V40">
        <v>75000</v>
      </c>
      <c r="W40">
        <v>142</v>
      </c>
      <c r="X40" t="s">
        <v>76</v>
      </c>
    </row>
    <row r="41" spans="1:24">
      <c r="A41" t="s">
        <v>0</v>
      </c>
      <c r="B41">
        <v>0</v>
      </c>
      <c r="C41">
        <v>1</v>
      </c>
      <c r="D41">
        <v>400219</v>
      </c>
      <c r="E41">
        <v>25000</v>
      </c>
      <c r="F41">
        <v>0</v>
      </c>
      <c r="G41">
        <v>0</v>
      </c>
      <c r="H41">
        <v>25000</v>
      </c>
      <c r="I41">
        <v>0</v>
      </c>
      <c r="J41" t="s">
        <v>76</v>
      </c>
      <c r="K41">
        <v>0</v>
      </c>
      <c r="L41" t="b">
        <f t="shared" si="4"/>
        <v>1</v>
      </c>
      <c r="M41" t="b">
        <f t="shared" si="5"/>
        <v>1</v>
      </c>
      <c r="N41" t="b">
        <f t="shared" si="6"/>
        <v>1</v>
      </c>
      <c r="O41" t="b">
        <f t="shared" si="7"/>
        <v>1</v>
      </c>
      <c r="P41" t="s">
        <v>127</v>
      </c>
      <c r="Q41">
        <v>0</v>
      </c>
      <c r="R41">
        <v>1</v>
      </c>
      <c r="S41">
        <v>400219</v>
      </c>
      <c r="T41">
        <v>0</v>
      </c>
      <c r="U41">
        <v>0</v>
      </c>
      <c r="V41">
        <v>25000</v>
      </c>
      <c r="W41">
        <v>0</v>
      </c>
      <c r="X41" t="s">
        <v>76</v>
      </c>
    </row>
    <row r="42" spans="1:24">
      <c r="A42" t="s">
        <v>0</v>
      </c>
      <c r="B42">
        <v>0</v>
      </c>
      <c r="C42">
        <v>1</v>
      </c>
      <c r="D42">
        <v>400224</v>
      </c>
      <c r="E42">
        <v>25000</v>
      </c>
      <c r="F42">
        <v>0</v>
      </c>
      <c r="G42">
        <v>0</v>
      </c>
      <c r="H42">
        <v>25000</v>
      </c>
      <c r="I42">
        <v>0</v>
      </c>
      <c r="J42" t="s">
        <v>76</v>
      </c>
      <c r="K42">
        <v>0</v>
      </c>
      <c r="L42" t="b">
        <f t="shared" si="4"/>
        <v>1</v>
      </c>
      <c r="M42" t="b">
        <f t="shared" si="5"/>
        <v>1</v>
      </c>
      <c r="N42" t="b">
        <f t="shared" si="6"/>
        <v>1</v>
      </c>
      <c r="O42" t="b">
        <f t="shared" si="7"/>
        <v>1</v>
      </c>
      <c r="P42" t="s">
        <v>127</v>
      </c>
      <c r="Q42">
        <v>0</v>
      </c>
      <c r="R42">
        <v>1</v>
      </c>
      <c r="S42">
        <v>400224</v>
      </c>
      <c r="T42">
        <v>0</v>
      </c>
      <c r="U42">
        <v>0</v>
      </c>
      <c r="V42">
        <v>25000</v>
      </c>
      <c r="W42">
        <v>0</v>
      </c>
      <c r="X42" t="s">
        <v>76</v>
      </c>
    </row>
    <row r="43" spans="1:24">
      <c r="A43" t="s">
        <v>0</v>
      </c>
      <c r="B43">
        <v>0</v>
      </c>
      <c r="C43">
        <v>1</v>
      </c>
      <c r="D43">
        <v>400230</v>
      </c>
      <c r="E43">
        <v>1000000</v>
      </c>
      <c r="F43">
        <v>192</v>
      </c>
      <c r="G43">
        <v>0</v>
      </c>
      <c r="H43">
        <v>1000000</v>
      </c>
      <c r="I43">
        <v>192</v>
      </c>
      <c r="J43" t="s">
        <v>76</v>
      </c>
      <c r="K43">
        <v>0</v>
      </c>
      <c r="L43" t="b">
        <f t="shared" si="4"/>
        <v>1</v>
      </c>
      <c r="M43" t="b">
        <f t="shared" si="5"/>
        <v>1</v>
      </c>
      <c r="N43" t="b">
        <f t="shared" si="6"/>
        <v>1</v>
      </c>
      <c r="O43" t="b">
        <f t="shared" si="7"/>
        <v>1</v>
      </c>
      <c r="P43" t="s">
        <v>127</v>
      </c>
      <c r="Q43">
        <v>0</v>
      </c>
      <c r="R43">
        <v>1</v>
      </c>
      <c r="S43">
        <v>400230</v>
      </c>
      <c r="T43">
        <v>0</v>
      </c>
      <c r="U43">
        <v>0</v>
      </c>
      <c r="V43">
        <v>1000000</v>
      </c>
      <c r="W43">
        <v>192</v>
      </c>
      <c r="X43" t="s">
        <v>76</v>
      </c>
    </row>
    <row r="44" spans="1:24">
      <c r="A44" t="s">
        <v>0</v>
      </c>
      <c r="B44">
        <v>0</v>
      </c>
      <c r="C44">
        <v>1</v>
      </c>
      <c r="D44">
        <v>400231</v>
      </c>
      <c r="E44">
        <v>2000000</v>
      </c>
      <c r="F44">
        <v>0</v>
      </c>
      <c r="G44">
        <v>0</v>
      </c>
      <c r="H44">
        <v>2000000</v>
      </c>
      <c r="I44">
        <v>0</v>
      </c>
      <c r="J44" t="s">
        <v>76</v>
      </c>
      <c r="K44">
        <v>0</v>
      </c>
      <c r="L44" t="b">
        <f t="shared" si="4"/>
        <v>1</v>
      </c>
      <c r="M44" t="b">
        <f t="shared" si="5"/>
        <v>0</v>
      </c>
      <c r="N44" t="b">
        <f t="shared" si="6"/>
        <v>1</v>
      </c>
      <c r="O44" t="b">
        <f t="shared" si="7"/>
        <v>1</v>
      </c>
      <c r="P44" t="s">
        <v>127</v>
      </c>
      <c r="Q44">
        <v>0</v>
      </c>
      <c r="R44">
        <v>1</v>
      </c>
      <c r="S44">
        <v>400231</v>
      </c>
      <c r="T44">
        <v>0</v>
      </c>
      <c r="U44">
        <v>0</v>
      </c>
      <c r="V44">
        <v>1000000</v>
      </c>
      <c r="W44">
        <v>0</v>
      </c>
      <c r="X44" t="s">
        <v>76</v>
      </c>
    </row>
    <row r="45" spans="1:24">
      <c r="L45" t="b">
        <f t="shared" si="4"/>
        <v>0</v>
      </c>
      <c r="M45" t="b">
        <f t="shared" si="5"/>
        <v>0</v>
      </c>
      <c r="N45" t="b">
        <f t="shared" si="6"/>
        <v>0</v>
      </c>
      <c r="O45" t="b">
        <f t="shared" si="7"/>
        <v>1</v>
      </c>
      <c r="P45" t="s">
        <v>127</v>
      </c>
      <c r="Q45">
        <v>0</v>
      </c>
      <c r="R45">
        <v>1</v>
      </c>
      <c r="S45">
        <v>400283</v>
      </c>
      <c r="T45">
        <v>0</v>
      </c>
      <c r="U45">
        <v>0</v>
      </c>
      <c r="V45">
        <v>30000</v>
      </c>
      <c r="W45">
        <v>0</v>
      </c>
      <c r="X45" t="s">
        <v>76</v>
      </c>
    </row>
    <row r="46" spans="1:24">
      <c r="L46" t="b">
        <f t="shared" si="4"/>
        <v>0</v>
      </c>
      <c r="M46" t="b">
        <f t="shared" si="5"/>
        <v>0</v>
      </c>
      <c r="N46" t="b">
        <f t="shared" si="6"/>
        <v>0</v>
      </c>
      <c r="O46" t="b">
        <f t="shared" si="7"/>
        <v>1</v>
      </c>
      <c r="P46" t="s">
        <v>127</v>
      </c>
      <c r="Q46">
        <v>0</v>
      </c>
      <c r="R46">
        <v>1</v>
      </c>
      <c r="S46">
        <v>400284</v>
      </c>
      <c r="T46">
        <v>0</v>
      </c>
      <c r="U46">
        <v>0</v>
      </c>
      <c r="V46">
        <v>50000</v>
      </c>
      <c r="W46">
        <v>0</v>
      </c>
      <c r="X46" t="s">
        <v>76</v>
      </c>
    </row>
    <row r="47" spans="1:24">
      <c r="A47" t="s">
        <v>0</v>
      </c>
      <c r="B47">
        <v>0</v>
      </c>
      <c r="C47">
        <v>1</v>
      </c>
      <c r="D47">
        <v>400298</v>
      </c>
      <c r="E47">
        <v>600000</v>
      </c>
      <c r="F47">
        <v>0</v>
      </c>
      <c r="G47">
        <v>0</v>
      </c>
      <c r="H47">
        <v>600000</v>
      </c>
      <c r="I47">
        <v>0</v>
      </c>
      <c r="J47" t="s">
        <v>76</v>
      </c>
      <c r="K47">
        <v>0</v>
      </c>
      <c r="L47" t="b">
        <f t="shared" si="4"/>
        <v>1</v>
      </c>
      <c r="M47" t="b">
        <f t="shared" si="5"/>
        <v>1</v>
      </c>
      <c r="N47" t="b">
        <f t="shared" si="6"/>
        <v>1</v>
      </c>
      <c r="O47" t="b">
        <f t="shared" si="7"/>
        <v>1</v>
      </c>
      <c r="P47" t="s">
        <v>127</v>
      </c>
      <c r="Q47">
        <v>0</v>
      </c>
      <c r="R47">
        <v>1</v>
      </c>
      <c r="S47">
        <v>400298</v>
      </c>
      <c r="T47">
        <v>0</v>
      </c>
      <c r="U47">
        <v>0</v>
      </c>
      <c r="V47">
        <v>600000</v>
      </c>
      <c r="W47">
        <v>0</v>
      </c>
      <c r="X47" t="s">
        <v>76</v>
      </c>
    </row>
    <row r="48" spans="1:24">
      <c r="A48" t="s">
        <v>0</v>
      </c>
      <c r="B48">
        <v>0</v>
      </c>
      <c r="C48">
        <v>1</v>
      </c>
      <c r="D48">
        <v>400301</v>
      </c>
      <c r="E48">
        <v>51000</v>
      </c>
      <c r="F48">
        <v>0</v>
      </c>
      <c r="G48">
        <v>0</v>
      </c>
      <c r="H48">
        <v>51000</v>
      </c>
      <c r="I48">
        <v>0</v>
      </c>
      <c r="J48" t="s">
        <v>76</v>
      </c>
      <c r="K48">
        <v>0</v>
      </c>
      <c r="L48" t="b">
        <f t="shared" si="4"/>
        <v>1</v>
      </c>
      <c r="M48" t="b">
        <f t="shared" si="5"/>
        <v>1</v>
      </c>
      <c r="N48" t="b">
        <f t="shared" si="6"/>
        <v>1</v>
      </c>
      <c r="O48" t="b">
        <f t="shared" si="7"/>
        <v>1</v>
      </c>
      <c r="P48" t="s">
        <v>127</v>
      </c>
      <c r="Q48">
        <v>0</v>
      </c>
      <c r="R48">
        <v>1</v>
      </c>
      <c r="S48">
        <v>400301</v>
      </c>
      <c r="T48">
        <v>0</v>
      </c>
      <c r="U48">
        <v>0</v>
      </c>
      <c r="V48">
        <v>51000</v>
      </c>
      <c r="W48">
        <v>0</v>
      </c>
      <c r="X48" t="s">
        <v>76</v>
      </c>
    </row>
    <row r="49" spans="1:24">
      <c r="A49" t="s">
        <v>0</v>
      </c>
      <c r="B49">
        <v>0</v>
      </c>
      <c r="C49">
        <v>1</v>
      </c>
      <c r="D49">
        <v>400305</v>
      </c>
      <c r="E49">
        <v>60</v>
      </c>
      <c r="F49">
        <v>0</v>
      </c>
      <c r="G49">
        <v>0</v>
      </c>
      <c r="H49">
        <v>60</v>
      </c>
      <c r="I49">
        <v>0</v>
      </c>
      <c r="J49" t="s">
        <v>76</v>
      </c>
      <c r="K49">
        <v>0</v>
      </c>
      <c r="L49" t="b">
        <f t="shared" si="4"/>
        <v>1</v>
      </c>
      <c r="M49" t="b">
        <f t="shared" si="5"/>
        <v>1</v>
      </c>
      <c r="N49" t="b">
        <f t="shared" si="6"/>
        <v>1</v>
      </c>
      <c r="O49" t="b">
        <f t="shared" si="7"/>
        <v>1</v>
      </c>
      <c r="P49" t="s">
        <v>127</v>
      </c>
      <c r="Q49">
        <v>0</v>
      </c>
      <c r="R49">
        <v>1</v>
      </c>
      <c r="S49">
        <v>400305</v>
      </c>
      <c r="T49">
        <v>0</v>
      </c>
      <c r="U49">
        <v>0</v>
      </c>
      <c r="V49">
        <v>60</v>
      </c>
      <c r="W49">
        <v>0</v>
      </c>
      <c r="X49" t="s">
        <v>76</v>
      </c>
    </row>
    <row r="50" spans="1:24">
      <c r="A50" t="s">
        <v>0</v>
      </c>
      <c r="B50">
        <v>0</v>
      </c>
      <c r="C50">
        <v>1</v>
      </c>
      <c r="D50">
        <v>400314</v>
      </c>
      <c r="E50">
        <v>250</v>
      </c>
      <c r="F50">
        <v>0</v>
      </c>
      <c r="G50">
        <v>0</v>
      </c>
      <c r="H50">
        <v>250</v>
      </c>
      <c r="I50">
        <v>0</v>
      </c>
      <c r="J50" t="s">
        <v>76</v>
      </c>
      <c r="K50">
        <v>0</v>
      </c>
      <c r="L50" t="b">
        <f t="shared" si="4"/>
        <v>1</v>
      </c>
      <c r="M50" t="b">
        <f t="shared" si="5"/>
        <v>1</v>
      </c>
      <c r="N50" t="b">
        <f t="shared" si="6"/>
        <v>1</v>
      </c>
      <c r="O50" t="b">
        <f t="shared" si="7"/>
        <v>1</v>
      </c>
      <c r="P50" t="s">
        <v>127</v>
      </c>
      <c r="Q50">
        <v>0</v>
      </c>
      <c r="R50">
        <v>1</v>
      </c>
      <c r="S50">
        <v>400314</v>
      </c>
      <c r="T50">
        <v>0</v>
      </c>
      <c r="U50">
        <v>0</v>
      </c>
      <c r="V50">
        <v>250</v>
      </c>
      <c r="W50">
        <v>0</v>
      </c>
      <c r="X50" t="s">
        <v>76</v>
      </c>
    </row>
    <row r="51" spans="1:24">
      <c r="A51" t="s">
        <v>0</v>
      </c>
      <c r="B51">
        <v>0</v>
      </c>
      <c r="C51">
        <v>1</v>
      </c>
      <c r="D51">
        <v>400322</v>
      </c>
      <c r="E51">
        <v>2500</v>
      </c>
      <c r="F51">
        <v>0</v>
      </c>
      <c r="G51">
        <v>0</v>
      </c>
      <c r="H51">
        <v>2500</v>
      </c>
      <c r="I51">
        <v>0</v>
      </c>
      <c r="J51" t="s">
        <v>76</v>
      </c>
      <c r="K51">
        <v>0</v>
      </c>
      <c r="L51" t="b">
        <f t="shared" si="4"/>
        <v>1</v>
      </c>
      <c r="M51" t="b">
        <f t="shared" si="5"/>
        <v>1</v>
      </c>
      <c r="N51" t="b">
        <f t="shared" si="6"/>
        <v>1</v>
      </c>
      <c r="O51" t="b">
        <f t="shared" si="7"/>
        <v>1</v>
      </c>
      <c r="P51" t="s">
        <v>127</v>
      </c>
      <c r="Q51">
        <v>0</v>
      </c>
      <c r="R51">
        <v>1</v>
      </c>
      <c r="S51">
        <v>400322</v>
      </c>
      <c r="T51">
        <v>0</v>
      </c>
      <c r="U51">
        <v>0</v>
      </c>
      <c r="V51">
        <v>2500</v>
      </c>
      <c r="W51">
        <v>0</v>
      </c>
      <c r="X51" t="s">
        <v>76</v>
      </c>
    </row>
    <row r="52" spans="1:24">
      <c r="A52" t="s">
        <v>0</v>
      </c>
      <c r="B52">
        <v>0</v>
      </c>
      <c r="C52">
        <v>1</v>
      </c>
      <c r="D52">
        <v>400323</v>
      </c>
      <c r="E52">
        <v>2500</v>
      </c>
      <c r="F52">
        <v>0</v>
      </c>
      <c r="G52">
        <v>0</v>
      </c>
      <c r="H52">
        <v>2500</v>
      </c>
      <c r="I52">
        <v>0</v>
      </c>
      <c r="J52" t="s">
        <v>76</v>
      </c>
      <c r="K52">
        <v>0</v>
      </c>
      <c r="L52" t="b">
        <f t="shared" si="4"/>
        <v>1</v>
      </c>
      <c r="M52" t="b">
        <f t="shared" si="5"/>
        <v>1</v>
      </c>
      <c r="N52" t="b">
        <f t="shared" si="6"/>
        <v>1</v>
      </c>
      <c r="O52" t="b">
        <f t="shared" si="7"/>
        <v>1</v>
      </c>
      <c r="P52" t="s">
        <v>127</v>
      </c>
      <c r="Q52">
        <v>0</v>
      </c>
      <c r="R52">
        <v>1</v>
      </c>
      <c r="S52">
        <v>400323</v>
      </c>
      <c r="T52">
        <v>0</v>
      </c>
      <c r="U52">
        <v>0</v>
      </c>
      <c r="V52">
        <v>2500</v>
      </c>
      <c r="W52">
        <v>0</v>
      </c>
      <c r="X52" t="s">
        <v>76</v>
      </c>
    </row>
    <row r="53" spans="1:24">
      <c r="A53" t="s">
        <v>0</v>
      </c>
      <c r="B53">
        <v>0</v>
      </c>
      <c r="C53">
        <v>1</v>
      </c>
      <c r="D53">
        <v>400324</v>
      </c>
      <c r="E53">
        <v>2500</v>
      </c>
      <c r="F53">
        <v>0</v>
      </c>
      <c r="G53">
        <v>0</v>
      </c>
      <c r="H53">
        <v>2500</v>
      </c>
      <c r="I53">
        <v>0</v>
      </c>
      <c r="J53" t="s">
        <v>76</v>
      </c>
      <c r="K53">
        <v>0</v>
      </c>
      <c r="L53" t="b">
        <f t="shared" si="4"/>
        <v>1</v>
      </c>
      <c r="M53" t="b">
        <f t="shared" si="5"/>
        <v>1</v>
      </c>
      <c r="N53" t="b">
        <f t="shared" si="6"/>
        <v>1</v>
      </c>
      <c r="O53" t="b">
        <f t="shared" si="7"/>
        <v>1</v>
      </c>
      <c r="P53" t="s">
        <v>127</v>
      </c>
      <c r="Q53">
        <v>0</v>
      </c>
      <c r="R53">
        <v>1</v>
      </c>
      <c r="S53">
        <v>400324</v>
      </c>
      <c r="T53">
        <v>0</v>
      </c>
      <c r="U53">
        <v>0</v>
      </c>
      <c r="V53">
        <v>2500</v>
      </c>
      <c r="W53">
        <v>0</v>
      </c>
      <c r="X53" t="s">
        <v>76</v>
      </c>
    </row>
    <row r="54" spans="1:24">
      <c r="A54" t="s">
        <v>0</v>
      </c>
      <c r="B54">
        <v>0</v>
      </c>
      <c r="C54">
        <v>1</v>
      </c>
      <c r="D54">
        <v>400326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76</v>
      </c>
      <c r="K54">
        <v>0</v>
      </c>
      <c r="L54" t="b">
        <f t="shared" si="4"/>
        <v>1</v>
      </c>
      <c r="M54" t="b">
        <f t="shared" si="5"/>
        <v>1</v>
      </c>
      <c r="N54" t="b">
        <f t="shared" si="6"/>
        <v>1</v>
      </c>
      <c r="O54" t="b">
        <f t="shared" si="7"/>
        <v>1</v>
      </c>
      <c r="P54" t="s">
        <v>127</v>
      </c>
      <c r="Q54">
        <v>0</v>
      </c>
      <c r="R54">
        <v>1</v>
      </c>
      <c r="S54">
        <v>400326</v>
      </c>
      <c r="T54">
        <v>0</v>
      </c>
      <c r="U54">
        <v>0</v>
      </c>
      <c r="V54">
        <v>0</v>
      </c>
      <c r="W54">
        <v>0</v>
      </c>
      <c r="X54" t="s">
        <v>76</v>
      </c>
    </row>
    <row r="55" spans="1:24">
      <c r="A55" t="s">
        <v>0</v>
      </c>
      <c r="B55">
        <v>0</v>
      </c>
      <c r="C55">
        <v>1</v>
      </c>
      <c r="D55">
        <v>400327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76</v>
      </c>
      <c r="K55">
        <v>0</v>
      </c>
      <c r="L55" t="b">
        <f t="shared" si="4"/>
        <v>1</v>
      </c>
      <c r="M55" t="b">
        <f t="shared" si="5"/>
        <v>1</v>
      </c>
      <c r="N55" t="b">
        <f t="shared" si="6"/>
        <v>1</v>
      </c>
      <c r="O55" t="b">
        <f t="shared" si="7"/>
        <v>1</v>
      </c>
      <c r="P55" t="s">
        <v>127</v>
      </c>
      <c r="Q55">
        <v>0</v>
      </c>
      <c r="R55">
        <v>1</v>
      </c>
      <c r="S55">
        <v>400327</v>
      </c>
      <c r="T55">
        <v>0</v>
      </c>
      <c r="U55">
        <v>0</v>
      </c>
      <c r="V55">
        <v>0</v>
      </c>
      <c r="W55">
        <v>0</v>
      </c>
      <c r="X55" t="s">
        <v>76</v>
      </c>
    </row>
    <row r="56" spans="1:24">
      <c r="A56" t="s">
        <v>0</v>
      </c>
      <c r="B56">
        <v>0</v>
      </c>
      <c r="C56">
        <v>1</v>
      </c>
      <c r="D56">
        <v>400328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76</v>
      </c>
      <c r="K56">
        <v>0</v>
      </c>
      <c r="L56" t="b">
        <f t="shared" si="4"/>
        <v>1</v>
      </c>
      <c r="M56" t="b">
        <f t="shared" si="5"/>
        <v>1</v>
      </c>
      <c r="N56" t="b">
        <f t="shared" si="6"/>
        <v>1</v>
      </c>
      <c r="O56" t="b">
        <f t="shared" si="7"/>
        <v>1</v>
      </c>
      <c r="P56" t="s">
        <v>127</v>
      </c>
      <c r="Q56">
        <v>0</v>
      </c>
      <c r="R56">
        <v>1</v>
      </c>
      <c r="S56">
        <v>400328</v>
      </c>
      <c r="T56">
        <v>0</v>
      </c>
      <c r="U56">
        <v>0</v>
      </c>
      <c r="V56">
        <v>0</v>
      </c>
      <c r="W56">
        <v>0</v>
      </c>
      <c r="X56" t="s">
        <v>76</v>
      </c>
    </row>
    <row r="57" spans="1:24">
      <c r="A57" t="s">
        <v>0</v>
      </c>
      <c r="B57">
        <v>0</v>
      </c>
      <c r="C57">
        <v>1</v>
      </c>
      <c r="D57">
        <v>400329</v>
      </c>
      <c r="E57">
        <v>5000</v>
      </c>
      <c r="F57">
        <v>0</v>
      </c>
      <c r="G57">
        <v>0</v>
      </c>
      <c r="H57">
        <v>5000</v>
      </c>
      <c r="I57">
        <v>0</v>
      </c>
      <c r="J57" t="s">
        <v>76</v>
      </c>
      <c r="K57">
        <v>0</v>
      </c>
      <c r="L57" t="b">
        <f t="shared" si="4"/>
        <v>1</v>
      </c>
      <c r="M57" t="b">
        <f t="shared" si="5"/>
        <v>1</v>
      </c>
      <c r="N57" t="b">
        <f t="shared" si="6"/>
        <v>1</v>
      </c>
      <c r="O57" t="b">
        <f t="shared" si="7"/>
        <v>1</v>
      </c>
      <c r="P57" t="s">
        <v>127</v>
      </c>
      <c r="Q57">
        <v>0</v>
      </c>
      <c r="R57">
        <v>1</v>
      </c>
      <c r="S57">
        <v>400329</v>
      </c>
      <c r="T57">
        <v>0</v>
      </c>
      <c r="U57">
        <v>0</v>
      </c>
      <c r="V57">
        <v>5000</v>
      </c>
      <c r="W57">
        <v>0</v>
      </c>
      <c r="X57" t="s">
        <v>76</v>
      </c>
    </row>
    <row r="58" spans="1:24">
      <c r="A58" t="s">
        <v>0</v>
      </c>
      <c r="B58">
        <v>0</v>
      </c>
      <c r="C58">
        <v>1</v>
      </c>
      <c r="D58">
        <v>400330</v>
      </c>
      <c r="E58">
        <v>250</v>
      </c>
      <c r="F58">
        <v>0</v>
      </c>
      <c r="G58">
        <v>0</v>
      </c>
      <c r="H58">
        <v>250</v>
      </c>
      <c r="I58">
        <v>0</v>
      </c>
      <c r="J58" t="s">
        <v>76</v>
      </c>
      <c r="K58">
        <v>0</v>
      </c>
      <c r="L58" t="b">
        <f t="shared" si="4"/>
        <v>1</v>
      </c>
      <c r="M58" t="b">
        <f t="shared" si="5"/>
        <v>1</v>
      </c>
      <c r="N58" t="b">
        <f t="shared" si="6"/>
        <v>1</v>
      </c>
      <c r="O58" t="b">
        <f t="shared" si="7"/>
        <v>1</v>
      </c>
      <c r="P58" t="s">
        <v>127</v>
      </c>
      <c r="Q58">
        <v>0</v>
      </c>
      <c r="R58">
        <v>1</v>
      </c>
      <c r="S58">
        <v>400330</v>
      </c>
      <c r="T58">
        <v>0</v>
      </c>
      <c r="U58">
        <v>0</v>
      </c>
      <c r="V58">
        <v>250</v>
      </c>
      <c r="W58">
        <v>0</v>
      </c>
      <c r="X58" t="s">
        <v>76</v>
      </c>
    </row>
    <row r="59" spans="1:24">
      <c r="A59" t="s">
        <v>0</v>
      </c>
      <c r="B59">
        <v>0</v>
      </c>
      <c r="C59">
        <v>1</v>
      </c>
      <c r="D59">
        <v>400335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123</v>
      </c>
      <c r="K59">
        <v>0</v>
      </c>
      <c r="L59" t="b">
        <f t="shared" si="4"/>
        <v>1</v>
      </c>
      <c r="M59" t="b">
        <f t="shared" si="5"/>
        <v>1</v>
      </c>
      <c r="N59" t="b">
        <f t="shared" si="6"/>
        <v>1</v>
      </c>
      <c r="O59" t="b">
        <f t="shared" si="7"/>
        <v>1</v>
      </c>
      <c r="P59" t="s">
        <v>127</v>
      </c>
      <c r="Q59">
        <v>0</v>
      </c>
      <c r="R59">
        <v>1</v>
      </c>
      <c r="S59">
        <v>400335</v>
      </c>
      <c r="T59">
        <v>0</v>
      </c>
      <c r="U59">
        <v>0</v>
      </c>
      <c r="V59">
        <v>0</v>
      </c>
      <c r="W59">
        <v>0</v>
      </c>
      <c r="X59" t="s">
        <v>123</v>
      </c>
    </row>
    <row r="60" spans="1:24">
      <c r="A60" t="s">
        <v>0</v>
      </c>
      <c r="B60">
        <v>0</v>
      </c>
      <c r="C60">
        <v>1</v>
      </c>
      <c r="D60">
        <v>400336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123</v>
      </c>
      <c r="K60">
        <v>0</v>
      </c>
      <c r="L60" t="b">
        <f t="shared" si="4"/>
        <v>1</v>
      </c>
      <c r="M60" t="b">
        <f t="shared" si="5"/>
        <v>1</v>
      </c>
      <c r="N60" t="b">
        <f t="shared" si="6"/>
        <v>1</v>
      </c>
      <c r="O60" t="b">
        <f t="shared" si="7"/>
        <v>1</v>
      </c>
      <c r="P60" t="s">
        <v>127</v>
      </c>
      <c r="Q60">
        <v>0</v>
      </c>
      <c r="R60">
        <v>1</v>
      </c>
      <c r="S60">
        <v>400336</v>
      </c>
      <c r="T60">
        <v>0</v>
      </c>
      <c r="U60">
        <v>0</v>
      </c>
      <c r="V60">
        <v>0</v>
      </c>
      <c r="W60">
        <v>0</v>
      </c>
      <c r="X60" t="s">
        <v>123</v>
      </c>
    </row>
    <row r="61" spans="1:24">
      <c r="A61" t="s">
        <v>0</v>
      </c>
      <c r="B61">
        <v>0</v>
      </c>
      <c r="C61">
        <v>1</v>
      </c>
      <c r="D61">
        <v>400337</v>
      </c>
      <c r="E61">
        <v>1000</v>
      </c>
      <c r="F61">
        <v>0</v>
      </c>
      <c r="G61">
        <v>0</v>
      </c>
      <c r="H61">
        <v>1000</v>
      </c>
      <c r="I61">
        <v>0</v>
      </c>
      <c r="J61" t="s">
        <v>76</v>
      </c>
      <c r="K61">
        <v>0</v>
      </c>
      <c r="L61" t="b">
        <f t="shared" si="4"/>
        <v>1</v>
      </c>
      <c r="M61" t="b">
        <f t="shared" si="5"/>
        <v>1</v>
      </c>
      <c r="N61" t="b">
        <f t="shared" si="6"/>
        <v>1</v>
      </c>
      <c r="O61" t="b">
        <f t="shared" si="7"/>
        <v>1</v>
      </c>
      <c r="P61" t="s">
        <v>127</v>
      </c>
      <c r="Q61">
        <v>0</v>
      </c>
      <c r="R61">
        <v>1</v>
      </c>
      <c r="S61">
        <v>400337</v>
      </c>
      <c r="T61">
        <v>0</v>
      </c>
      <c r="U61">
        <v>0</v>
      </c>
      <c r="V61">
        <v>1000</v>
      </c>
      <c r="W61">
        <v>0</v>
      </c>
      <c r="X61" t="s">
        <v>76</v>
      </c>
    </row>
    <row r="62" spans="1:24">
      <c r="A62" t="s">
        <v>0</v>
      </c>
      <c r="B62">
        <v>0</v>
      </c>
      <c r="C62">
        <v>1</v>
      </c>
      <c r="D62">
        <v>400440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123</v>
      </c>
      <c r="K62">
        <v>0</v>
      </c>
      <c r="L62" t="b">
        <f t="shared" si="4"/>
        <v>1</v>
      </c>
      <c r="M62" t="b">
        <f t="shared" si="5"/>
        <v>1</v>
      </c>
      <c r="N62" t="b">
        <f t="shared" si="6"/>
        <v>1</v>
      </c>
      <c r="O62" t="b">
        <f t="shared" si="7"/>
        <v>1</v>
      </c>
      <c r="P62" t="s">
        <v>127</v>
      </c>
      <c r="Q62">
        <v>0</v>
      </c>
      <c r="R62">
        <v>1</v>
      </c>
      <c r="S62">
        <v>400440</v>
      </c>
      <c r="T62">
        <v>0</v>
      </c>
      <c r="U62">
        <v>0</v>
      </c>
      <c r="V62">
        <v>0</v>
      </c>
      <c r="W62">
        <v>0</v>
      </c>
      <c r="X62" t="s">
        <v>123</v>
      </c>
    </row>
    <row r="63" spans="1:24">
      <c r="A63" t="s">
        <v>0</v>
      </c>
      <c r="B63">
        <v>0</v>
      </c>
      <c r="C63">
        <v>1</v>
      </c>
      <c r="D63">
        <v>400444</v>
      </c>
      <c r="E63">
        <v>15000</v>
      </c>
      <c r="F63">
        <v>0</v>
      </c>
      <c r="G63">
        <v>0</v>
      </c>
      <c r="H63">
        <v>15000</v>
      </c>
      <c r="I63">
        <v>0</v>
      </c>
      <c r="J63" t="s">
        <v>76</v>
      </c>
      <c r="K63">
        <v>0</v>
      </c>
      <c r="L63" t="b">
        <f t="shared" si="4"/>
        <v>1</v>
      </c>
      <c r="M63" t="b">
        <f t="shared" si="5"/>
        <v>1</v>
      </c>
      <c r="N63" t="b">
        <f t="shared" si="6"/>
        <v>1</v>
      </c>
      <c r="O63" t="b">
        <f t="shared" si="7"/>
        <v>1</v>
      </c>
      <c r="P63" t="s">
        <v>127</v>
      </c>
      <c r="Q63">
        <v>0</v>
      </c>
      <c r="R63">
        <v>1</v>
      </c>
      <c r="S63">
        <v>400444</v>
      </c>
      <c r="T63">
        <v>0</v>
      </c>
      <c r="U63">
        <v>0</v>
      </c>
      <c r="V63">
        <v>15000</v>
      </c>
      <c r="W63">
        <v>0</v>
      </c>
      <c r="X63" t="s">
        <v>76</v>
      </c>
    </row>
    <row r="64" spans="1:24">
      <c r="A64" t="s">
        <v>0</v>
      </c>
      <c r="B64">
        <v>0</v>
      </c>
      <c r="C64">
        <v>1</v>
      </c>
      <c r="D64">
        <v>400445</v>
      </c>
      <c r="E64">
        <v>10000</v>
      </c>
      <c r="F64">
        <v>0</v>
      </c>
      <c r="G64">
        <v>0</v>
      </c>
      <c r="H64">
        <v>10000</v>
      </c>
      <c r="I64">
        <v>0</v>
      </c>
      <c r="J64" t="s">
        <v>76</v>
      </c>
      <c r="K64">
        <v>0</v>
      </c>
      <c r="L64" t="b">
        <f t="shared" si="4"/>
        <v>1</v>
      </c>
      <c r="M64" t="b">
        <f t="shared" si="5"/>
        <v>1</v>
      </c>
      <c r="N64" t="b">
        <f t="shared" si="6"/>
        <v>1</v>
      </c>
      <c r="O64" t="b">
        <f t="shared" si="7"/>
        <v>1</v>
      </c>
      <c r="P64" t="s">
        <v>127</v>
      </c>
      <c r="Q64">
        <v>0</v>
      </c>
      <c r="R64">
        <v>1</v>
      </c>
      <c r="S64">
        <v>400445</v>
      </c>
      <c r="T64">
        <v>0</v>
      </c>
      <c r="U64">
        <v>0</v>
      </c>
      <c r="V64">
        <v>10000</v>
      </c>
      <c r="W64">
        <v>0</v>
      </c>
      <c r="X64" t="s">
        <v>76</v>
      </c>
    </row>
    <row r="65" spans="1:24">
      <c r="A65" t="s">
        <v>0</v>
      </c>
      <c r="B65">
        <v>0</v>
      </c>
      <c r="C65">
        <v>1</v>
      </c>
      <c r="D65">
        <v>400447</v>
      </c>
      <c r="E65">
        <v>180</v>
      </c>
      <c r="F65">
        <v>0</v>
      </c>
      <c r="G65">
        <v>0</v>
      </c>
      <c r="H65">
        <v>180</v>
      </c>
      <c r="I65">
        <v>0</v>
      </c>
      <c r="J65" t="s">
        <v>76</v>
      </c>
      <c r="K65">
        <v>0</v>
      </c>
      <c r="L65" t="b">
        <f t="shared" si="4"/>
        <v>1</v>
      </c>
      <c r="M65" t="b">
        <f t="shared" si="5"/>
        <v>1</v>
      </c>
      <c r="N65" t="b">
        <f t="shared" si="6"/>
        <v>1</v>
      </c>
      <c r="O65" t="b">
        <f t="shared" si="7"/>
        <v>1</v>
      </c>
      <c r="P65" t="s">
        <v>127</v>
      </c>
      <c r="Q65">
        <v>0</v>
      </c>
      <c r="R65">
        <v>1</v>
      </c>
      <c r="S65">
        <v>400447</v>
      </c>
      <c r="T65">
        <v>0</v>
      </c>
      <c r="U65">
        <v>0</v>
      </c>
      <c r="V65">
        <v>180</v>
      </c>
      <c r="W65">
        <v>0</v>
      </c>
      <c r="X65" t="s">
        <v>76</v>
      </c>
    </row>
    <row r="66" spans="1:24">
      <c r="A66" t="s">
        <v>0</v>
      </c>
      <c r="B66">
        <v>0</v>
      </c>
      <c r="C66">
        <v>1</v>
      </c>
      <c r="D66">
        <v>400448</v>
      </c>
      <c r="E66">
        <v>500000</v>
      </c>
      <c r="F66">
        <v>0</v>
      </c>
      <c r="G66">
        <v>0</v>
      </c>
      <c r="H66">
        <v>500000</v>
      </c>
      <c r="I66">
        <v>0</v>
      </c>
      <c r="J66" t="s">
        <v>76</v>
      </c>
      <c r="K66">
        <v>0</v>
      </c>
      <c r="L66" t="b">
        <f t="shared" si="4"/>
        <v>1</v>
      </c>
      <c r="M66" t="b">
        <f t="shared" si="5"/>
        <v>1</v>
      </c>
      <c r="N66" t="b">
        <f t="shared" si="6"/>
        <v>1</v>
      </c>
      <c r="O66" t="b">
        <f t="shared" si="7"/>
        <v>1</v>
      </c>
      <c r="P66" t="s">
        <v>127</v>
      </c>
      <c r="Q66">
        <v>0</v>
      </c>
      <c r="R66">
        <v>1</v>
      </c>
      <c r="S66">
        <v>400448</v>
      </c>
      <c r="T66">
        <v>0</v>
      </c>
      <c r="U66">
        <v>0</v>
      </c>
      <c r="V66">
        <v>500000</v>
      </c>
      <c r="W66">
        <v>0</v>
      </c>
      <c r="X66" t="s">
        <v>76</v>
      </c>
    </row>
    <row r="67" spans="1:24">
      <c r="A67" t="s">
        <v>0</v>
      </c>
      <c r="B67">
        <v>0</v>
      </c>
      <c r="C67">
        <v>1</v>
      </c>
      <c r="D67">
        <v>400449</v>
      </c>
      <c r="E67">
        <v>100000</v>
      </c>
      <c r="F67">
        <v>0</v>
      </c>
      <c r="G67">
        <v>0</v>
      </c>
      <c r="H67">
        <v>100000</v>
      </c>
      <c r="I67">
        <v>0</v>
      </c>
      <c r="J67" t="s">
        <v>76</v>
      </c>
      <c r="K67">
        <v>0</v>
      </c>
      <c r="L67" t="b">
        <f t="shared" si="4"/>
        <v>1</v>
      </c>
      <c r="M67" t="b">
        <f t="shared" si="5"/>
        <v>1</v>
      </c>
      <c r="N67" t="b">
        <f t="shared" si="6"/>
        <v>1</v>
      </c>
      <c r="O67" t="b">
        <f t="shared" si="7"/>
        <v>1</v>
      </c>
      <c r="P67" t="s">
        <v>127</v>
      </c>
      <c r="Q67">
        <v>0</v>
      </c>
      <c r="R67">
        <v>1</v>
      </c>
      <c r="S67">
        <v>400449</v>
      </c>
      <c r="T67">
        <v>0</v>
      </c>
      <c r="U67">
        <v>0</v>
      </c>
      <c r="V67">
        <v>100000</v>
      </c>
      <c r="W67">
        <v>0</v>
      </c>
      <c r="X67" t="s">
        <v>76</v>
      </c>
    </row>
    <row r="68" spans="1:24">
      <c r="A68" t="s">
        <v>0</v>
      </c>
      <c r="B68">
        <v>0</v>
      </c>
      <c r="C68">
        <v>1</v>
      </c>
      <c r="D68">
        <v>400450</v>
      </c>
      <c r="E68">
        <v>25000</v>
      </c>
      <c r="F68">
        <v>0</v>
      </c>
      <c r="G68">
        <v>0</v>
      </c>
      <c r="H68">
        <v>25000</v>
      </c>
      <c r="I68">
        <v>0</v>
      </c>
      <c r="J68" t="s">
        <v>76</v>
      </c>
      <c r="K68">
        <v>0</v>
      </c>
      <c r="L68" t="b">
        <f t="shared" si="4"/>
        <v>1</v>
      </c>
      <c r="M68" t="b">
        <f t="shared" si="5"/>
        <v>1</v>
      </c>
      <c r="N68" t="b">
        <f t="shared" si="6"/>
        <v>1</v>
      </c>
      <c r="O68" t="b">
        <f t="shared" si="7"/>
        <v>1</v>
      </c>
      <c r="P68" t="s">
        <v>127</v>
      </c>
      <c r="Q68">
        <v>0</v>
      </c>
      <c r="R68">
        <v>1</v>
      </c>
      <c r="S68">
        <v>400450</v>
      </c>
      <c r="T68">
        <v>0</v>
      </c>
      <c r="U68">
        <v>0</v>
      </c>
      <c r="V68">
        <v>25000</v>
      </c>
      <c r="W68">
        <v>0</v>
      </c>
      <c r="X68" t="s">
        <v>76</v>
      </c>
    </row>
    <row r="69" spans="1:24">
      <c r="A69" t="s">
        <v>0</v>
      </c>
      <c r="B69">
        <v>0</v>
      </c>
      <c r="C69">
        <v>1</v>
      </c>
      <c r="D69">
        <v>400451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76</v>
      </c>
      <c r="K69">
        <v>0</v>
      </c>
      <c r="L69" t="b">
        <f t="shared" si="4"/>
        <v>1</v>
      </c>
      <c r="M69" t="b">
        <f t="shared" si="5"/>
        <v>1</v>
      </c>
      <c r="N69" t="b">
        <f t="shared" si="6"/>
        <v>1</v>
      </c>
      <c r="O69" t="b">
        <f t="shared" si="7"/>
        <v>1</v>
      </c>
      <c r="P69" t="s">
        <v>127</v>
      </c>
      <c r="Q69">
        <v>0</v>
      </c>
      <c r="R69">
        <v>1</v>
      </c>
      <c r="S69">
        <v>400451</v>
      </c>
      <c r="T69">
        <v>0</v>
      </c>
      <c r="U69">
        <v>0</v>
      </c>
      <c r="V69">
        <v>0</v>
      </c>
      <c r="W69">
        <v>0</v>
      </c>
      <c r="X69" t="s">
        <v>76</v>
      </c>
    </row>
    <row r="70" spans="1:24">
      <c r="A70" t="s">
        <v>0</v>
      </c>
      <c r="B70">
        <v>0</v>
      </c>
      <c r="C70">
        <v>1</v>
      </c>
      <c r="D70">
        <v>400452</v>
      </c>
      <c r="E70">
        <v>100000</v>
      </c>
      <c r="F70">
        <v>0</v>
      </c>
      <c r="G70">
        <v>0</v>
      </c>
      <c r="H70">
        <v>100000</v>
      </c>
      <c r="I70">
        <v>0</v>
      </c>
      <c r="J70" t="s">
        <v>76</v>
      </c>
      <c r="K70">
        <v>0</v>
      </c>
      <c r="L70" t="b">
        <f t="shared" si="4"/>
        <v>1</v>
      </c>
      <c r="M70" t="b">
        <f t="shared" si="5"/>
        <v>1</v>
      </c>
      <c r="N70" t="b">
        <f t="shared" si="6"/>
        <v>1</v>
      </c>
      <c r="O70" t="b">
        <f t="shared" si="7"/>
        <v>1</v>
      </c>
      <c r="P70" t="s">
        <v>127</v>
      </c>
      <c r="Q70">
        <v>0</v>
      </c>
      <c r="R70">
        <v>1</v>
      </c>
      <c r="S70">
        <v>400452</v>
      </c>
      <c r="T70">
        <v>0</v>
      </c>
      <c r="U70">
        <v>0</v>
      </c>
      <c r="V70">
        <v>100000</v>
      </c>
      <c r="W70">
        <v>0</v>
      </c>
      <c r="X70" t="s">
        <v>76</v>
      </c>
    </row>
    <row r="71" spans="1:24">
      <c r="A71" t="s">
        <v>0</v>
      </c>
      <c r="B71">
        <v>0</v>
      </c>
      <c r="C71">
        <v>1</v>
      </c>
      <c r="D71">
        <v>400454</v>
      </c>
      <c r="E71">
        <v>25000</v>
      </c>
      <c r="F71">
        <v>0</v>
      </c>
      <c r="G71">
        <v>0</v>
      </c>
      <c r="H71">
        <v>25000</v>
      </c>
      <c r="I71">
        <v>0</v>
      </c>
      <c r="J71" t="s">
        <v>76</v>
      </c>
      <c r="K71">
        <v>0</v>
      </c>
      <c r="L71" t="b">
        <f t="shared" si="4"/>
        <v>1</v>
      </c>
      <c r="M71" t="b">
        <f t="shared" si="5"/>
        <v>1</v>
      </c>
      <c r="N71" t="b">
        <f t="shared" si="6"/>
        <v>1</v>
      </c>
      <c r="O71" t="b">
        <f t="shared" si="7"/>
        <v>1</v>
      </c>
      <c r="P71" t="s">
        <v>127</v>
      </c>
      <c r="Q71">
        <v>0</v>
      </c>
      <c r="R71">
        <v>1</v>
      </c>
      <c r="S71">
        <v>400454</v>
      </c>
      <c r="T71">
        <v>0</v>
      </c>
      <c r="U71">
        <v>0</v>
      </c>
      <c r="V71">
        <v>25000</v>
      </c>
      <c r="W71">
        <v>0</v>
      </c>
      <c r="X71" t="s">
        <v>76</v>
      </c>
    </row>
    <row r="72" spans="1:24">
      <c r="A72" t="s">
        <v>0</v>
      </c>
      <c r="B72">
        <v>0</v>
      </c>
      <c r="C72">
        <v>1</v>
      </c>
      <c r="D72">
        <v>400455</v>
      </c>
      <c r="E72">
        <v>100000</v>
      </c>
      <c r="F72">
        <v>0</v>
      </c>
      <c r="G72">
        <v>0</v>
      </c>
      <c r="H72">
        <v>100000</v>
      </c>
      <c r="I72">
        <v>0</v>
      </c>
      <c r="J72" t="s">
        <v>76</v>
      </c>
      <c r="K72">
        <v>0</v>
      </c>
      <c r="L72" t="b">
        <f t="shared" si="4"/>
        <v>1</v>
      </c>
      <c r="M72" t="b">
        <f t="shared" si="5"/>
        <v>1</v>
      </c>
      <c r="N72" t="b">
        <f t="shared" si="6"/>
        <v>1</v>
      </c>
      <c r="O72" t="b">
        <f t="shared" si="7"/>
        <v>1</v>
      </c>
      <c r="P72" t="s">
        <v>127</v>
      </c>
      <c r="Q72">
        <v>0</v>
      </c>
      <c r="R72">
        <v>1</v>
      </c>
      <c r="S72">
        <v>400455</v>
      </c>
      <c r="T72">
        <v>0</v>
      </c>
      <c r="U72">
        <v>0</v>
      </c>
      <c r="V72">
        <v>100000</v>
      </c>
      <c r="W72">
        <v>0</v>
      </c>
      <c r="X72" t="s">
        <v>76</v>
      </c>
    </row>
    <row r="73" spans="1:24">
      <c r="A73" t="s">
        <v>0</v>
      </c>
      <c r="B73">
        <v>0</v>
      </c>
      <c r="C73">
        <v>1</v>
      </c>
      <c r="D73">
        <v>400456</v>
      </c>
      <c r="E73">
        <v>250000</v>
      </c>
      <c r="F73">
        <v>0</v>
      </c>
      <c r="G73">
        <v>0</v>
      </c>
      <c r="H73">
        <v>250000</v>
      </c>
      <c r="I73">
        <v>0</v>
      </c>
      <c r="J73" t="s">
        <v>76</v>
      </c>
      <c r="K73">
        <v>0</v>
      </c>
      <c r="L73" t="b">
        <f t="shared" si="4"/>
        <v>1</v>
      </c>
      <c r="M73" t="b">
        <f t="shared" si="5"/>
        <v>1</v>
      </c>
      <c r="N73" t="b">
        <f t="shared" si="6"/>
        <v>1</v>
      </c>
      <c r="O73" t="b">
        <f t="shared" si="7"/>
        <v>1</v>
      </c>
      <c r="P73" t="s">
        <v>127</v>
      </c>
      <c r="Q73">
        <v>0</v>
      </c>
      <c r="R73">
        <v>1</v>
      </c>
      <c r="S73">
        <v>400456</v>
      </c>
      <c r="T73">
        <v>0</v>
      </c>
      <c r="U73">
        <v>0</v>
      </c>
      <c r="V73">
        <v>250000</v>
      </c>
      <c r="W73">
        <v>0</v>
      </c>
      <c r="X73" t="s">
        <v>76</v>
      </c>
    </row>
    <row r="74" spans="1:24">
      <c r="A74" t="s">
        <v>0</v>
      </c>
      <c r="B74">
        <v>0</v>
      </c>
      <c r="C74">
        <v>1</v>
      </c>
      <c r="D74">
        <v>400457</v>
      </c>
      <c r="E74">
        <v>25000</v>
      </c>
      <c r="F74">
        <v>0</v>
      </c>
      <c r="G74">
        <v>0</v>
      </c>
      <c r="H74">
        <v>25000</v>
      </c>
      <c r="I74">
        <v>0</v>
      </c>
      <c r="J74" t="s">
        <v>76</v>
      </c>
      <c r="K74">
        <v>0</v>
      </c>
      <c r="L74" t="b">
        <f t="shared" si="4"/>
        <v>1</v>
      </c>
      <c r="M74" t="b">
        <f t="shared" si="5"/>
        <v>1</v>
      </c>
      <c r="N74" t="b">
        <f t="shared" si="6"/>
        <v>1</v>
      </c>
      <c r="O74" t="b">
        <f t="shared" si="7"/>
        <v>1</v>
      </c>
      <c r="P74" t="s">
        <v>127</v>
      </c>
      <c r="Q74">
        <v>0</v>
      </c>
      <c r="R74">
        <v>1</v>
      </c>
      <c r="S74">
        <v>400457</v>
      </c>
      <c r="T74">
        <v>0</v>
      </c>
      <c r="U74">
        <v>0</v>
      </c>
      <c r="V74">
        <v>25000</v>
      </c>
      <c r="W74">
        <v>0</v>
      </c>
      <c r="X74" t="s">
        <v>76</v>
      </c>
    </row>
    <row r="75" spans="1:24">
      <c r="A75" t="s">
        <v>0</v>
      </c>
      <c r="B75">
        <v>0</v>
      </c>
      <c r="C75">
        <v>1</v>
      </c>
      <c r="D75">
        <v>400458</v>
      </c>
      <c r="E75">
        <v>25000</v>
      </c>
      <c r="F75">
        <v>0</v>
      </c>
      <c r="G75">
        <v>0</v>
      </c>
      <c r="H75">
        <v>25000</v>
      </c>
      <c r="I75">
        <v>0</v>
      </c>
      <c r="J75" t="s">
        <v>76</v>
      </c>
      <c r="K75">
        <v>0</v>
      </c>
      <c r="L75" t="b">
        <f t="shared" si="4"/>
        <v>1</v>
      </c>
      <c r="M75" t="b">
        <f t="shared" si="5"/>
        <v>1</v>
      </c>
      <c r="N75" t="b">
        <f t="shared" si="6"/>
        <v>1</v>
      </c>
      <c r="O75" t="b">
        <f t="shared" si="7"/>
        <v>1</v>
      </c>
      <c r="P75" t="s">
        <v>127</v>
      </c>
      <c r="Q75">
        <v>0</v>
      </c>
      <c r="R75">
        <v>1</v>
      </c>
      <c r="S75">
        <v>400458</v>
      </c>
      <c r="T75">
        <v>0</v>
      </c>
      <c r="U75">
        <v>0</v>
      </c>
      <c r="V75">
        <v>25000</v>
      </c>
      <c r="W75">
        <v>0</v>
      </c>
      <c r="X75" t="s">
        <v>76</v>
      </c>
    </row>
    <row r="76" spans="1:24">
      <c r="A76" t="s">
        <v>0</v>
      </c>
      <c r="B76">
        <v>0</v>
      </c>
      <c r="C76">
        <v>1</v>
      </c>
      <c r="D76">
        <v>400459</v>
      </c>
      <c r="E76">
        <v>5000</v>
      </c>
      <c r="F76">
        <v>0</v>
      </c>
      <c r="G76">
        <v>0</v>
      </c>
      <c r="H76">
        <v>5000</v>
      </c>
      <c r="I76">
        <v>0</v>
      </c>
      <c r="J76" t="s">
        <v>76</v>
      </c>
      <c r="K76">
        <v>0</v>
      </c>
      <c r="L76" t="b">
        <f t="shared" si="4"/>
        <v>1</v>
      </c>
      <c r="M76" t="b">
        <f t="shared" si="5"/>
        <v>1</v>
      </c>
      <c r="N76" t="b">
        <f t="shared" si="6"/>
        <v>1</v>
      </c>
      <c r="O76" t="b">
        <f t="shared" si="7"/>
        <v>1</v>
      </c>
      <c r="P76" t="s">
        <v>127</v>
      </c>
      <c r="Q76">
        <v>0</v>
      </c>
      <c r="R76">
        <v>1</v>
      </c>
      <c r="S76">
        <v>400459</v>
      </c>
      <c r="T76">
        <v>0</v>
      </c>
      <c r="U76">
        <v>0</v>
      </c>
      <c r="V76">
        <v>5000</v>
      </c>
      <c r="W76">
        <v>0</v>
      </c>
      <c r="X76" t="s">
        <v>76</v>
      </c>
    </row>
    <row r="77" spans="1:24">
      <c r="A77" t="s">
        <v>0</v>
      </c>
      <c r="B77">
        <v>0</v>
      </c>
      <c r="C77">
        <v>1</v>
      </c>
      <c r="D77">
        <v>400460</v>
      </c>
      <c r="E77">
        <v>10000</v>
      </c>
      <c r="F77">
        <v>0</v>
      </c>
      <c r="G77">
        <v>0</v>
      </c>
      <c r="H77">
        <v>10000</v>
      </c>
      <c r="I77">
        <v>0</v>
      </c>
      <c r="J77" t="s">
        <v>76</v>
      </c>
      <c r="K77">
        <v>0</v>
      </c>
      <c r="L77" t="b">
        <f t="shared" si="4"/>
        <v>1</v>
      </c>
      <c r="M77" t="b">
        <f t="shared" si="5"/>
        <v>1</v>
      </c>
      <c r="N77" t="b">
        <f t="shared" si="6"/>
        <v>1</v>
      </c>
      <c r="O77" t="b">
        <f t="shared" si="7"/>
        <v>1</v>
      </c>
      <c r="P77" t="s">
        <v>127</v>
      </c>
      <c r="Q77">
        <v>0</v>
      </c>
      <c r="R77">
        <v>1</v>
      </c>
      <c r="S77">
        <v>400460</v>
      </c>
      <c r="T77">
        <v>0</v>
      </c>
      <c r="U77">
        <v>0</v>
      </c>
      <c r="V77">
        <v>10000</v>
      </c>
      <c r="W77">
        <v>0</v>
      </c>
      <c r="X77" t="s">
        <v>76</v>
      </c>
    </row>
    <row r="78" spans="1:24">
      <c r="A78" t="s">
        <v>0</v>
      </c>
      <c r="B78">
        <v>0</v>
      </c>
      <c r="C78">
        <v>1</v>
      </c>
      <c r="D78">
        <v>400461</v>
      </c>
      <c r="E78">
        <v>5000</v>
      </c>
      <c r="F78">
        <v>0</v>
      </c>
      <c r="G78">
        <v>0</v>
      </c>
      <c r="H78">
        <v>5000</v>
      </c>
      <c r="I78">
        <v>0</v>
      </c>
      <c r="J78" t="s">
        <v>76</v>
      </c>
      <c r="K78">
        <v>0</v>
      </c>
      <c r="L78" t="b">
        <f t="shared" si="4"/>
        <v>1</v>
      </c>
      <c r="M78" t="b">
        <f t="shared" si="5"/>
        <v>1</v>
      </c>
      <c r="N78" t="b">
        <f t="shared" si="6"/>
        <v>1</v>
      </c>
      <c r="O78" t="b">
        <f t="shared" si="7"/>
        <v>1</v>
      </c>
      <c r="P78" t="s">
        <v>127</v>
      </c>
      <c r="Q78">
        <v>0</v>
      </c>
      <c r="R78">
        <v>1</v>
      </c>
      <c r="S78">
        <v>400461</v>
      </c>
      <c r="T78">
        <v>0</v>
      </c>
      <c r="U78">
        <v>0</v>
      </c>
      <c r="V78">
        <v>5000</v>
      </c>
      <c r="W78">
        <v>0</v>
      </c>
      <c r="X78" t="s">
        <v>76</v>
      </c>
    </row>
    <row r="79" spans="1:24">
      <c r="A79" t="s">
        <v>0</v>
      </c>
      <c r="B79">
        <v>0</v>
      </c>
      <c r="C79">
        <v>1</v>
      </c>
      <c r="D79">
        <v>400462</v>
      </c>
      <c r="E79">
        <v>2500</v>
      </c>
      <c r="F79">
        <v>0</v>
      </c>
      <c r="G79">
        <v>0</v>
      </c>
      <c r="H79">
        <v>2500</v>
      </c>
      <c r="I79">
        <v>0</v>
      </c>
      <c r="J79" t="s">
        <v>76</v>
      </c>
      <c r="K79">
        <v>0</v>
      </c>
      <c r="L79" t="b">
        <f t="shared" si="4"/>
        <v>1</v>
      </c>
      <c r="M79" t="b">
        <f t="shared" si="5"/>
        <v>1</v>
      </c>
      <c r="N79" t="b">
        <f t="shared" si="6"/>
        <v>1</v>
      </c>
      <c r="O79" t="b">
        <f t="shared" si="7"/>
        <v>1</v>
      </c>
      <c r="P79" t="s">
        <v>127</v>
      </c>
      <c r="Q79">
        <v>0</v>
      </c>
      <c r="R79">
        <v>1</v>
      </c>
      <c r="S79">
        <v>400462</v>
      </c>
      <c r="T79">
        <v>0</v>
      </c>
      <c r="U79">
        <v>0</v>
      </c>
      <c r="V79">
        <v>2500</v>
      </c>
      <c r="W79">
        <v>0</v>
      </c>
      <c r="X79" t="s">
        <v>76</v>
      </c>
    </row>
    <row r="80" spans="1:24">
      <c r="A80" t="s">
        <v>0</v>
      </c>
      <c r="B80">
        <v>0</v>
      </c>
      <c r="C80">
        <v>1</v>
      </c>
      <c r="D80">
        <v>400463</v>
      </c>
      <c r="E80">
        <v>15000</v>
      </c>
      <c r="F80">
        <v>0</v>
      </c>
      <c r="G80">
        <v>0</v>
      </c>
      <c r="H80">
        <v>15000</v>
      </c>
      <c r="I80">
        <v>0</v>
      </c>
      <c r="J80" t="s">
        <v>76</v>
      </c>
      <c r="K80">
        <v>0</v>
      </c>
      <c r="L80" t="b">
        <f t="shared" si="4"/>
        <v>1</v>
      </c>
      <c r="M80" t="b">
        <f t="shared" si="5"/>
        <v>1</v>
      </c>
      <c r="N80" t="b">
        <f t="shared" si="6"/>
        <v>1</v>
      </c>
      <c r="O80" t="b">
        <f t="shared" si="7"/>
        <v>1</v>
      </c>
      <c r="P80" t="s">
        <v>127</v>
      </c>
      <c r="Q80">
        <v>0</v>
      </c>
      <c r="R80">
        <v>1</v>
      </c>
      <c r="S80">
        <v>400463</v>
      </c>
      <c r="T80">
        <v>0</v>
      </c>
      <c r="U80">
        <v>0</v>
      </c>
      <c r="V80">
        <v>15000</v>
      </c>
      <c r="W80">
        <v>0</v>
      </c>
      <c r="X80" t="s">
        <v>76</v>
      </c>
    </row>
    <row r="81" spans="1:24">
      <c r="A81" t="s">
        <v>0</v>
      </c>
      <c r="B81">
        <v>0</v>
      </c>
      <c r="C81">
        <v>1</v>
      </c>
      <c r="D81">
        <v>400464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76</v>
      </c>
      <c r="K81">
        <v>0</v>
      </c>
      <c r="L81" t="b">
        <f t="shared" si="4"/>
        <v>1</v>
      </c>
      <c r="M81" t="b">
        <f t="shared" si="5"/>
        <v>1</v>
      </c>
      <c r="N81" t="b">
        <f t="shared" si="6"/>
        <v>1</v>
      </c>
      <c r="O81" t="b">
        <f t="shared" si="7"/>
        <v>1</v>
      </c>
      <c r="P81" t="s">
        <v>127</v>
      </c>
      <c r="Q81">
        <v>0</v>
      </c>
      <c r="R81">
        <v>1</v>
      </c>
      <c r="S81">
        <v>400464</v>
      </c>
      <c r="T81">
        <v>0</v>
      </c>
      <c r="U81">
        <v>0</v>
      </c>
      <c r="V81">
        <v>0</v>
      </c>
      <c r="W81">
        <v>0</v>
      </c>
      <c r="X81" t="s">
        <v>76</v>
      </c>
    </row>
    <row r="82" spans="1:24">
      <c r="A82" t="s">
        <v>0</v>
      </c>
      <c r="B82">
        <v>0</v>
      </c>
      <c r="C82">
        <v>1</v>
      </c>
      <c r="D82">
        <v>400465</v>
      </c>
      <c r="E82">
        <v>1000</v>
      </c>
      <c r="F82">
        <v>0</v>
      </c>
      <c r="G82">
        <v>0</v>
      </c>
      <c r="H82">
        <v>1000</v>
      </c>
      <c r="I82">
        <v>0</v>
      </c>
      <c r="J82" t="s">
        <v>76</v>
      </c>
      <c r="K82">
        <v>0</v>
      </c>
      <c r="L82" t="b">
        <f t="shared" si="4"/>
        <v>1</v>
      </c>
      <c r="M82" t="b">
        <f t="shared" si="5"/>
        <v>1</v>
      </c>
      <c r="N82" t="b">
        <f t="shared" si="6"/>
        <v>1</v>
      </c>
      <c r="O82" t="b">
        <f t="shared" si="7"/>
        <v>1</v>
      </c>
      <c r="P82" t="s">
        <v>127</v>
      </c>
      <c r="Q82">
        <v>0</v>
      </c>
      <c r="R82">
        <v>1</v>
      </c>
      <c r="S82">
        <v>400465</v>
      </c>
      <c r="T82">
        <v>0</v>
      </c>
      <c r="U82">
        <v>0</v>
      </c>
      <c r="V82">
        <v>1000</v>
      </c>
      <c r="W82">
        <v>0</v>
      </c>
      <c r="X82" t="s">
        <v>76</v>
      </c>
    </row>
    <row r="83" spans="1:24">
      <c r="A83" t="s">
        <v>0</v>
      </c>
      <c r="B83">
        <v>0</v>
      </c>
      <c r="C83">
        <v>1</v>
      </c>
      <c r="D83">
        <v>400466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76</v>
      </c>
      <c r="K83">
        <v>0</v>
      </c>
      <c r="L83" t="b">
        <f t="shared" si="4"/>
        <v>1</v>
      </c>
      <c r="M83" t="b">
        <f t="shared" si="5"/>
        <v>1</v>
      </c>
      <c r="N83" t="b">
        <f t="shared" si="6"/>
        <v>1</v>
      </c>
      <c r="O83" t="b">
        <f t="shared" si="7"/>
        <v>1</v>
      </c>
      <c r="P83" t="s">
        <v>127</v>
      </c>
      <c r="Q83">
        <v>0</v>
      </c>
      <c r="R83">
        <v>1</v>
      </c>
      <c r="S83">
        <v>400466</v>
      </c>
      <c r="T83">
        <v>0</v>
      </c>
      <c r="U83">
        <v>0</v>
      </c>
      <c r="V83">
        <v>0</v>
      </c>
      <c r="W83">
        <v>0</v>
      </c>
      <c r="X83" t="s">
        <v>76</v>
      </c>
    </row>
    <row r="84" spans="1:24">
      <c r="A84" t="s">
        <v>0</v>
      </c>
      <c r="B84">
        <v>0</v>
      </c>
      <c r="C84">
        <v>1</v>
      </c>
      <c r="D84">
        <v>400477</v>
      </c>
      <c r="E84">
        <v>25000</v>
      </c>
      <c r="F84">
        <v>0</v>
      </c>
      <c r="G84">
        <v>0</v>
      </c>
      <c r="H84">
        <v>25000</v>
      </c>
      <c r="I84">
        <v>0</v>
      </c>
      <c r="J84" t="s">
        <v>76</v>
      </c>
      <c r="K84">
        <v>0</v>
      </c>
      <c r="L84" t="b">
        <f t="shared" si="4"/>
        <v>1</v>
      </c>
      <c r="M84" t="b">
        <f t="shared" si="5"/>
        <v>1</v>
      </c>
      <c r="N84" t="b">
        <f t="shared" si="6"/>
        <v>1</v>
      </c>
      <c r="O84" t="b">
        <f t="shared" si="7"/>
        <v>1</v>
      </c>
      <c r="P84" t="s">
        <v>127</v>
      </c>
      <c r="Q84">
        <v>0</v>
      </c>
      <c r="R84">
        <v>1</v>
      </c>
      <c r="S84">
        <v>400477</v>
      </c>
      <c r="T84">
        <v>0</v>
      </c>
      <c r="U84">
        <v>0</v>
      </c>
      <c r="V84">
        <v>25000</v>
      </c>
      <c r="W84">
        <v>0</v>
      </c>
      <c r="X84" t="s">
        <v>76</v>
      </c>
    </row>
    <row r="85" spans="1:24">
      <c r="A85" t="s">
        <v>0</v>
      </c>
      <c r="B85">
        <v>0</v>
      </c>
      <c r="C85">
        <v>1</v>
      </c>
      <c r="D85">
        <v>400478</v>
      </c>
      <c r="E85">
        <v>25000</v>
      </c>
      <c r="F85">
        <v>0</v>
      </c>
      <c r="G85">
        <v>0</v>
      </c>
      <c r="H85">
        <v>25000</v>
      </c>
      <c r="I85">
        <v>0</v>
      </c>
      <c r="J85" t="s">
        <v>76</v>
      </c>
      <c r="K85">
        <v>0</v>
      </c>
      <c r="L85" t="b">
        <f t="shared" si="4"/>
        <v>1</v>
      </c>
      <c r="M85" t="b">
        <f t="shared" si="5"/>
        <v>1</v>
      </c>
      <c r="N85" t="b">
        <f t="shared" si="6"/>
        <v>1</v>
      </c>
      <c r="O85" t="b">
        <f t="shared" si="7"/>
        <v>1</v>
      </c>
      <c r="P85" t="s">
        <v>127</v>
      </c>
      <c r="Q85">
        <v>0</v>
      </c>
      <c r="R85">
        <v>1</v>
      </c>
      <c r="S85">
        <v>400478</v>
      </c>
      <c r="T85">
        <v>0</v>
      </c>
      <c r="U85">
        <v>0</v>
      </c>
      <c r="V85">
        <v>25000</v>
      </c>
      <c r="W85">
        <v>0</v>
      </c>
      <c r="X85" t="s">
        <v>76</v>
      </c>
    </row>
    <row r="86" spans="1:24">
      <c r="A86" t="s">
        <v>0</v>
      </c>
      <c r="B86">
        <v>0</v>
      </c>
      <c r="C86">
        <v>1</v>
      </c>
      <c r="D86">
        <v>400479</v>
      </c>
      <c r="E86">
        <v>10000</v>
      </c>
      <c r="F86">
        <v>0</v>
      </c>
      <c r="G86">
        <v>0</v>
      </c>
      <c r="H86">
        <v>10000</v>
      </c>
      <c r="I86">
        <v>0</v>
      </c>
      <c r="J86" t="s">
        <v>76</v>
      </c>
      <c r="K86">
        <v>0</v>
      </c>
      <c r="L86" t="b">
        <f t="shared" si="4"/>
        <v>1</v>
      </c>
      <c r="M86" t="b">
        <f t="shared" si="5"/>
        <v>1</v>
      </c>
      <c r="N86" t="b">
        <f t="shared" si="6"/>
        <v>1</v>
      </c>
      <c r="O86" t="b">
        <f t="shared" si="7"/>
        <v>1</v>
      </c>
      <c r="P86" t="s">
        <v>127</v>
      </c>
      <c r="Q86">
        <v>0</v>
      </c>
      <c r="R86">
        <v>1</v>
      </c>
      <c r="S86">
        <v>400479</v>
      </c>
      <c r="T86">
        <v>0</v>
      </c>
      <c r="U86">
        <v>0</v>
      </c>
      <c r="V86">
        <v>10000</v>
      </c>
      <c r="W86">
        <v>0</v>
      </c>
      <c r="X86" t="s">
        <v>76</v>
      </c>
    </row>
    <row r="87" spans="1:24">
      <c r="A87" t="s">
        <v>0</v>
      </c>
      <c r="B87">
        <v>0</v>
      </c>
      <c r="C87">
        <v>1</v>
      </c>
      <c r="D87">
        <v>400480</v>
      </c>
      <c r="E87">
        <v>15000</v>
      </c>
      <c r="F87">
        <v>0</v>
      </c>
      <c r="G87">
        <v>0</v>
      </c>
      <c r="H87">
        <v>15000</v>
      </c>
      <c r="I87">
        <v>0</v>
      </c>
      <c r="J87" t="s">
        <v>76</v>
      </c>
      <c r="K87">
        <v>0</v>
      </c>
      <c r="L87" t="b">
        <f t="shared" si="4"/>
        <v>1</v>
      </c>
      <c r="M87" t="b">
        <f t="shared" si="5"/>
        <v>1</v>
      </c>
      <c r="N87" t="b">
        <f t="shared" si="6"/>
        <v>1</v>
      </c>
      <c r="O87" t="b">
        <f t="shared" si="7"/>
        <v>1</v>
      </c>
      <c r="P87" t="s">
        <v>127</v>
      </c>
      <c r="Q87">
        <v>0</v>
      </c>
      <c r="R87">
        <v>1</v>
      </c>
      <c r="S87">
        <v>400480</v>
      </c>
      <c r="T87">
        <v>0</v>
      </c>
      <c r="U87">
        <v>0</v>
      </c>
      <c r="V87">
        <v>15000</v>
      </c>
      <c r="W87">
        <v>0</v>
      </c>
      <c r="X87" t="s">
        <v>76</v>
      </c>
    </row>
    <row r="88" spans="1:24">
      <c r="A88" t="s">
        <v>0</v>
      </c>
      <c r="B88">
        <v>0</v>
      </c>
      <c r="C88">
        <v>1</v>
      </c>
      <c r="D88">
        <v>400481</v>
      </c>
      <c r="E88">
        <v>3000</v>
      </c>
      <c r="F88">
        <v>0</v>
      </c>
      <c r="G88">
        <v>0</v>
      </c>
      <c r="H88">
        <v>3000</v>
      </c>
      <c r="I88">
        <v>0</v>
      </c>
      <c r="J88" t="s">
        <v>76</v>
      </c>
      <c r="K88">
        <v>0</v>
      </c>
      <c r="L88" t="b">
        <f t="shared" si="4"/>
        <v>1</v>
      </c>
      <c r="M88" t="b">
        <f t="shared" si="5"/>
        <v>1</v>
      </c>
      <c r="N88" t="b">
        <f t="shared" si="6"/>
        <v>1</v>
      </c>
      <c r="O88" t="b">
        <f t="shared" si="7"/>
        <v>1</v>
      </c>
      <c r="P88" t="s">
        <v>127</v>
      </c>
      <c r="Q88">
        <v>0</v>
      </c>
      <c r="R88">
        <v>1</v>
      </c>
      <c r="S88">
        <v>400481</v>
      </c>
      <c r="T88">
        <v>0</v>
      </c>
      <c r="U88">
        <v>0</v>
      </c>
      <c r="V88">
        <v>3000</v>
      </c>
      <c r="W88">
        <v>0</v>
      </c>
      <c r="X88" t="s">
        <v>76</v>
      </c>
    </row>
    <row r="89" spans="1:24">
      <c r="A89" t="s">
        <v>0</v>
      </c>
      <c r="B89">
        <v>0</v>
      </c>
      <c r="C89">
        <v>1</v>
      </c>
      <c r="D89">
        <v>400484</v>
      </c>
      <c r="E89">
        <v>50000</v>
      </c>
      <c r="F89">
        <v>0</v>
      </c>
      <c r="G89">
        <v>0</v>
      </c>
      <c r="H89">
        <v>50000</v>
      </c>
      <c r="I89">
        <v>0</v>
      </c>
      <c r="J89" t="s">
        <v>76</v>
      </c>
      <c r="K89">
        <v>0</v>
      </c>
      <c r="L89" t="b">
        <f t="shared" si="4"/>
        <v>1</v>
      </c>
      <c r="M89" t="b">
        <f t="shared" si="5"/>
        <v>1</v>
      </c>
      <c r="N89" t="b">
        <f t="shared" si="6"/>
        <v>1</v>
      </c>
      <c r="O89" t="b">
        <f t="shared" si="7"/>
        <v>1</v>
      </c>
      <c r="P89" t="s">
        <v>127</v>
      </c>
      <c r="Q89">
        <v>0</v>
      </c>
      <c r="R89">
        <v>1</v>
      </c>
      <c r="S89">
        <v>400484</v>
      </c>
      <c r="T89">
        <v>0</v>
      </c>
      <c r="U89">
        <v>0</v>
      </c>
      <c r="V89">
        <v>50000</v>
      </c>
      <c r="W89">
        <v>0</v>
      </c>
      <c r="X89" t="s">
        <v>76</v>
      </c>
    </row>
    <row r="90" spans="1:24">
      <c r="A90" t="s">
        <v>0</v>
      </c>
      <c r="B90">
        <v>0</v>
      </c>
      <c r="C90">
        <v>1</v>
      </c>
      <c r="D90">
        <v>400485</v>
      </c>
      <c r="E90">
        <v>300</v>
      </c>
      <c r="F90">
        <v>0</v>
      </c>
      <c r="G90">
        <v>0</v>
      </c>
      <c r="H90">
        <v>300</v>
      </c>
      <c r="I90">
        <v>0</v>
      </c>
      <c r="J90" t="s">
        <v>76</v>
      </c>
      <c r="K90">
        <v>0</v>
      </c>
      <c r="L90" t="b">
        <f t="shared" si="4"/>
        <v>1</v>
      </c>
      <c r="M90" t="b">
        <f t="shared" si="5"/>
        <v>1</v>
      </c>
      <c r="N90" t="b">
        <f t="shared" si="6"/>
        <v>1</v>
      </c>
      <c r="O90" t="b">
        <f t="shared" si="7"/>
        <v>1</v>
      </c>
      <c r="P90" t="s">
        <v>127</v>
      </c>
      <c r="Q90">
        <v>0</v>
      </c>
      <c r="R90">
        <v>1</v>
      </c>
      <c r="S90">
        <v>400485</v>
      </c>
      <c r="T90">
        <v>0</v>
      </c>
      <c r="U90">
        <v>0</v>
      </c>
      <c r="V90">
        <v>300</v>
      </c>
      <c r="W90">
        <v>0</v>
      </c>
      <c r="X90" t="s">
        <v>76</v>
      </c>
    </row>
    <row r="91" spans="1:24">
      <c r="A91" t="s">
        <v>0</v>
      </c>
      <c r="B91">
        <v>0</v>
      </c>
      <c r="C91">
        <v>1</v>
      </c>
      <c r="D91">
        <v>400486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76</v>
      </c>
      <c r="K91">
        <v>0</v>
      </c>
      <c r="L91" t="b">
        <f t="shared" si="4"/>
        <v>1</v>
      </c>
      <c r="M91" t="b">
        <f t="shared" si="5"/>
        <v>1</v>
      </c>
      <c r="N91" t="b">
        <f t="shared" si="6"/>
        <v>1</v>
      </c>
      <c r="O91" t="b">
        <f t="shared" si="7"/>
        <v>1</v>
      </c>
      <c r="P91" t="s">
        <v>127</v>
      </c>
      <c r="Q91">
        <v>0</v>
      </c>
      <c r="R91">
        <v>1</v>
      </c>
      <c r="S91">
        <v>400486</v>
      </c>
      <c r="T91">
        <v>0</v>
      </c>
      <c r="U91">
        <v>0</v>
      </c>
      <c r="V91">
        <v>0</v>
      </c>
      <c r="W91">
        <v>0</v>
      </c>
      <c r="X91" t="s">
        <v>76</v>
      </c>
    </row>
    <row r="92" spans="1:24">
      <c r="A92" t="s">
        <v>0</v>
      </c>
      <c r="B92">
        <v>0</v>
      </c>
      <c r="C92">
        <v>1</v>
      </c>
      <c r="D92">
        <v>400487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76</v>
      </c>
      <c r="K92">
        <v>0</v>
      </c>
      <c r="L92" t="b">
        <f t="shared" si="4"/>
        <v>1</v>
      </c>
      <c r="M92" t="b">
        <f t="shared" si="5"/>
        <v>1</v>
      </c>
      <c r="N92" t="b">
        <f t="shared" si="6"/>
        <v>1</v>
      </c>
      <c r="O92" t="b">
        <f t="shared" si="7"/>
        <v>1</v>
      </c>
      <c r="P92" t="s">
        <v>127</v>
      </c>
      <c r="Q92">
        <v>0</v>
      </c>
      <c r="R92">
        <v>1</v>
      </c>
      <c r="S92">
        <v>400487</v>
      </c>
      <c r="T92">
        <v>0</v>
      </c>
      <c r="U92">
        <v>0</v>
      </c>
      <c r="V92">
        <v>0</v>
      </c>
      <c r="W92">
        <v>0</v>
      </c>
      <c r="X92" t="s">
        <v>76</v>
      </c>
    </row>
    <row r="93" spans="1:24">
      <c r="A93" t="s">
        <v>0</v>
      </c>
      <c r="B93">
        <v>0</v>
      </c>
      <c r="C93">
        <v>1</v>
      </c>
      <c r="D93">
        <v>400488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76</v>
      </c>
      <c r="K93">
        <v>0</v>
      </c>
      <c r="L93" t="b">
        <f t="shared" si="4"/>
        <v>1</v>
      </c>
      <c r="M93" t="b">
        <f t="shared" si="5"/>
        <v>1</v>
      </c>
      <c r="N93" t="b">
        <f t="shared" si="6"/>
        <v>1</v>
      </c>
      <c r="O93" t="b">
        <f t="shared" si="7"/>
        <v>1</v>
      </c>
      <c r="P93" t="s">
        <v>127</v>
      </c>
      <c r="Q93">
        <v>0</v>
      </c>
      <c r="R93">
        <v>1</v>
      </c>
      <c r="S93">
        <v>400488</v>
      </c>
      <c r="T93">
        <v>0</v>
      </c>
      <c r="U93">
        <v>0</v>
      </c>
      <c r="V93">
        <v>0</v>
      </c>
      <c r="W93">
        <v>0</v>
      </c>
      <c r="X93" t="s">
        <v>76</v>
      </c>
    </row>
    <row r="94" spans="1:24">
      <c r="A94" t="s">
        <v>0</v>
      </c>
      <c r="B94">
        <v>0</v>
      </c>
      <c r="C94">
        <v>1</v>
      </c>
      <c r="D94">
        <v>400489</v>
      </c>
      <c r="E94">
        <v>50000</v>
      </c>
      <c r="F94">
        <v>0</v>
      </c>
      <c r="G94">
        <v>0</v>
      </c>
      <c r="H94">
        <v>50000</v>
      </c>
      <c r="I94">
        <v>0</v>
      </c>
      <c r="J94" t="s">
        <v>76</v>
      </c>
      <c r="K94">
        <v>0</v>
      </c>
      <c r="L94" t="b">
        <f t="shared" si="4"/>
        <v>1</v>
      </c>
      <c r="M94" t="b">
        <f t="shared" si="5"/>
        <v>1</v>
      </c>
      <c r="N94" t="b">
        <f t="shared" si="6"/>
        <v>1</v>
      </c>
      <c r="O94" t="b">
        <f t="shared" si="7"/>
        <v>1</v>
      </c>
      <c r="P94" t="s">
        <v>127</v>
      </c>
      <c r="Q94">
        <v>0</v>
      </c>
      <c r="R94">
        <v>1</v>
      </c>
      <c r="S94">
        <v>400489</v>
      </c>
      <c r="T94">
        <v>0</v>
      </c>
      <c r="U94">
        <v>0</v>
      </c>
      <c r="V94">
        <v>50000</v>
      </c>
      <c r="W94">
        <v>0</v>
      </c>
      <c r="X94" t="s">
        <v>76</v>
      </c>
    </row>
    <row r="95" spans="1:24">
      <c r="A95" t="s">
        <v>0</v>
      </c>
      <c r="B95">
        <v>0</v>
      </c>
      <c r="C95">
        <v>1</v>
      </c>
      <c r="D95">
        <v>400490</v>
      </c>
      <c r="E95">
        <v>2000</v>
      </c>
      <c r="F95">
        <v>0</v>
      </c>
      <c r="G95">
        <v>0</v>
      </c>
      <c r="H95">
        <v>2000</v>
      </c>
      <c r="I95">
        <v>0</v>
      </c>
      <c r="J95" t="s">
        <v>76</v>
      </c>
      <c r="K95">
        <v>0</v>
      </c>
      <c r="L95" t="b">
        <f t="shared" si="4"/>
        <v>1</v>
      </c>
      <c r="M95" t="b">
        <f t="shared" si="5"/>
        <v>1</v>
      </c>
      <c r="N95" t="b">
        <f t="shared" si="6"/>
        <v>1</v>
      </c>
      <c r="O95" t="b">
        <f t="shared" si="7"/>
        <v>1</v>
      </c>
      <c r="P95" t="s">
        <v>127</v>
      </c>
      <c r="Q95">
        <v>0</v>
      </c>
      <c r="R95">
        <v>1</v>
      </c>
      <c r="S95">
        <v>400490</v>
      </c>
      <c r="T95">
        <v>0</v>
      </c>
      <c r="U95">
        <v>0</v>
      </c>
      <c r="V95">
        <v>2000</v>
      </c>
      <c r="W95">
        <v>0</v>
      </c>
      <c r="X95" t="s">
        <v>76</v>
      </c>
    </row>
    <row r="96" spans="1:24">
      <c r="A96" t="s">
        <v>0</v>
      </c>
      <c r="B96">
        <v>0</v>
      </c>
      <c r="C96">
        <v>1</v>
      </c>
      <c r="D96">
        <v>400491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76</v>
      </c>
      <c r="K96">
        <v>0</v>
      </c>
      <c r="L96" t="b">
        <f t="shared" ref="L96:L115" si="8">D96=S96</f>
        <v>1</v>
      </c>
      <c r="M96" t="b">
        <f t="shared" ref="M96:M115" si="9">(H96-G96)=V96</f>
        <v>1</v>
      </c>
      <c r="N96" t="b">
        <f t="shared" ref="N96:N115" si="10">J96=X96</f>
        <v>1</v>
      </c>
      <c r="O96" t="b">
        <f t="shared" ref="O96:O115" si="11">I96=W96</f>
        <v>1</v>
      </c>
      <c r="P96" t="s">
        <v>127</v>
      </c>
      <c r="Q96">
        <v>0</v>
      </c>
      <c r="R96">
        <v>1</v>
      </c>
      <c r="S96">
        <v>400491</v>
      </c>
      <c r="T96">
        <v>0</v>
      </c>
      <c r="U96">
        <v>0</v>
      </c>
      <c r="V96">
        <v>0</v>
      </c>
      <c r="W96">
        <v>0</v>
      </c>
      <c r="X96" t="s">
        <v>76</v>
      </c>
    </row>
    <row r="97" spans="1:24">
      <c r="A97" t="s">
        <v>0</v>
      </c>
      <c r="B97">
        <v>0</v>
      </c>
      <c r="C97">
        <v>1</v>
      </c>
      <c r="D97">
        <v>400492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123</v>
      </c>
      <c r="K97">
        <v>0</v>
      </c>
      <c r="L97" t="b">
        <f t="shared" si="8"/>
        <v>1</v>
      </c>
      <c r="M97" t="b">
        <f t="shared" si="9"/>
        <v>1</v>
      </c>
      <c r="N97" t="b">
        <f t="shared" si="10"/>
        <v>1</v>
      </c>
      <c r="O97" t="b">
        <f t="shared" si="11"/>
        <v>1</v>
      </c>
      <c r="P97" t="s">
        <v>127</v>
      </c>
      <c r="Q97">
        <v>0</v>
      </c>
      <c r="R97">
        <v>1</v>
      </c>
      <c r="S97">
        <v>400492</v>
      </c>
      <c r="T97">
        <v>0</v>
      </c>
      <c r="U97">
        <v>0</v>
      </c>
      <c r="V97">
        <v>0</v>
      </c>
      <c r="W97">
        <v>0</v>
      </c>
      <c r="X97" t="s">
        <v>123</v>
      </c>
    </row>
    <row r="98" spans="1:24">
      <c r="A98" t="s">
        <v>0</v>
      </c>
      <c r="B98">
        <v>0</v>
      </c>
      <c r="C98">
        <v>1</v>
      </c>
      <c r="D98">
        <v>400493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123</v>
      </c>
      <c r="K98">
        <v>0</v>
      </c>
      <c r="L98" t="b">
        <f t="shared" si="8"/>
        <v>1</v>
      </c>
      <c r="M98" t="b">
        <f t="shared" si="9"/>
        <v>1</v>
      </c>
      <c r="N98" t="b">
        <f t="shared" si="10"/>
        <v>1</v>
      </c>
      <c r="O98" t="b">
        <f t="shared" si="11"/>
        <v>1</v>
      </c>
      <c r="P98" t="s">
        <v>127</v>
      </c>
      <c r="Q98">
        <v>0</v>
      </c>
      <c r="R98">
        <v>1</v>
      </c>
      <c r="S98">
        <v>400493</v>
      </c>
      <c r="T98">
        <v>0</v>
      </c>
      <c r="U98">
        <v>0</v>
      </c>
      <c r="V98">
        <v>0</v>
      </c>
      <c r="W98">
        <v>0</v>
      </c>
      <c r="X98" t="s">
        <v>123</v>
      </c>
    </row>
    <row r="99" spans="1:24">
      <c r="A99" t="s">
        <v>0</v>
      </c>
      <c r="B99">
        <v>0</v>
      </c>
      <c r="C99">
        <v>1</v>
      </c>
      <c r="D99">
        <v>400494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123</v>
      </c>
      <c r="K99">
        <v>0</v>
      </c>
      <c r="L99" t="b">
        <f t="shared" si="8"/>
        <v>1</v>
      </c>
      <c r="M99" t="b">
        <f t="shared" si="9"/>
        <v>1</v>
      </c>
      <c r="N99" t="b">
        <f>J99=X99</f>
        <v>0</v>
      </c>
      <c r="O99" t="b">
        <f t="shared" si="11"/>
        <v>1</v>
      </c>
      <c r="P99" t="s">
        <v>127</v>
      </c>
      <c r="Q99">
        <v>0</v>
      </c>
      <c r="R99">
        <v>1</v>
      </c>
      <c r="S99">
        <v>400494</v>
      </c>
      <c r="T99">
        <v>0</v>
      </c>
      <c r="U99">
        <v>0</v>
      </c>
      <c r="V99">
        <v>0</v>
      </c>
      <c r="W99">
        <v>0</v>
      </c>
      <c r="X99" t="s">
        <v>76</v>
      </c>
    </row>
    <row r="100" spans="1:24">
      <c r="A100" t="s">
        <v>0</v>
      </c>
      <c r="B100">
        <v>0</v>
      </c>
      <c r="C100">
        <v>1</v>
      </c>
      <c r="D100">
        <v>400497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123</v>
      </c>
      <c r="K100">
        <v>0</v>
      </c>
      <c r="L100" t="b">
        <f t="shared" si="8"/>
        <v>1</v>
      </c>
      <c r="M100" t="b">
        <f t="shared" si="9"/>
        <v>1</v>
      </c>
      <c r="N100" t="b">
        <f t="shared" si="10"/>
        <v>1</v>
      </c>
      <c r="O100" t="b">
        <f t="shared" si="11"/>
        <v>1</v>
      </c>
      <c r="P100" t="s">
        <v>127</v>
      </c>
      <c r="Q100">
        <v>0</v>
      </c>
      <c r="R100">
        <v>1</v>
      </c>
      <c r="S100">
        <v>400497</v>
      </c>
      <c r="T100">
        <v>0</v>
      </c>
      <c r="U100">
        <v>0</v>
      </c>
      <c r="V100">
        <v>0</v>
      </c>
      <c r="W100">
        <v>0</v>
      </c>
      <c r="X100" t="s">
        <v>123</v>
      </c>
    </row>
    <row r="101" spans="1:24">
      <c r="A101" t="s">
        <v>0</v>
      </c>
      <c r="B101">
        <v>0</v>
      </c>
      <c r="C101">
        <v>1</v>
      </c>
      <c r="D101">
        <v>400498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123</v>
      </c>
      <c r="K101">
        <v>0</v>
      </c>
      <c r="L101" t="b">
        <f t="shared" si="8"/>
        <v>1</v>
      </c>
      <c r="M101" t="b">
        <f t="shared" si="9"/>
        <v>1</v>
      </c>
      <c r="N101" t="b">
        <f t="shared" si="10"/>
        <v>1</v>
      </c>
      <c r="O101" t="b">
        <f t="shared" si="11"/>
        <v>1</v>
      </c>
      <c r="P101" t="s">
        <v>127</v>
      </c>
      <c r="Q101">
        <v>0</v>
      </c>
      <c r="R101">
        <v>1</v>
      </c>
      <c r="S101">
        <v>400498</v>
      </c>
      <c r="T101">
        <v>0</v>
      </c>
      <c r="U101">
        <v>0</v>
      </c>
      <c r="V101">
        <v>0</v>
      </c>
      <c r="W101">
        <v>0</v>
      </c>
      <c r="X101" t="s">
        <v>123</v>
      </c>
    </row>
    <row r="102" spans="1:24">
      <c r="A102" t="s">
        <v>0</v>
      </c>
      <c r="B102">
        <v>0</v>
      </c>
      <c r="C102">
        <v>1</v>
      </c>
      <c r="D102">
        <v>400499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123</v>
      </c>
      <c r="K102">
        <v>0</v>
      </c>
      <c r="L102" t="b">
        <f t="shared" si="8"/>
        <v>1</v>
      </c>
      <c r="M102" t="b">
        <f t="shared" si="9"/>
        <v>1</v>
      </c>
      <c r="N102" t="b">
        <f t="shared" si="10"/>
        <v>1</v>
      </c>
      <c r="O102" t="b">
        <f t="shared" si="11"/>
        <v>1</v>
      </c>
      <c r="P102" t="s">
        <v>127</v>
      </c>
      <c r="Q102">
        <v>0</v>
      </c>
      <c r="R102">
        <v>1</v>
      </c>
      <c r="S102">
        <v>400499</v>
      </c>
      <c r="T102">
        <v>0</v>
      </c>
      <c r="U102">
        <v>0</v>
      </c>
      <c r="V102">
        <v>0</v>
      </c>
      <c r="W102">
        <v>0</v>
      </c>
      <c r="X102" t="s">
        <v>123</v>
      </c>
    </row>
    <row r="103" spans="1:24">
      <c r="A103" t="s">
        <v>0</v>
      </c>
      <c r="B103">
        <v>0</v>
      </c>
      <c r="C103">
        <v>1</v>
      </c>
      <c r="D103">
        <v>400500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123</v>
      </c>
      <c r="K103">
        <v>0</v>
      </c>
      <c r="L103" t="b">
        <f t="shared" si="8"/>
        <v>1</v>
      </c>
      <c r="M103" t="b">
        <f t="shared" si="9"/>
        <v>1</v>
      </c>
      <c r="N103" t="b">
        <f t="shared" si="10"/>
        <v>1</v>
      </c>
      <c r="O103" t="b">
        <f t="shared" si="11"/>
        <v>1</v>
      </c>
      <c r="P103" t="s">
        <v>127</v>
      </c>
      <c r="Q103">
        <v>0</v>
      </c>
      <c r="R103">
        <v>1</v>
      </c>
      <c r="S103">
        <v>400500</v>
      </c>
      <c r="T103">
        <v>0</v>
      </c>
      <c r="U103">
        <v>0</v>
      </c>
      <c r="V103">
        <v>0</v>
      </c>
      <c r="W103">
        <v>0</v>
      </c>
      <c r="X103" t="s">
        <v>123</v>
      </c>
    </row>
    <row r="104" spans="1:24">
      <c r="A104" t="s">
        <v>0</v>
      </c>
      <c r="B104">
        <v>0</v>
      </c>
      <c r="C104">
        <v>1</v>
      </c>
      <c r="D104">
        <v>400501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123</v>
      </c>
      <c r="K104">
        <v>0</v>
      </c>
      <c r="L104" t="b">
        <f t="shared" si="8"/>
        <v>1</v>
      </c>
      <c r="M104" t="b">
        <f t="shared" si="9"/>
        <v>1</v>
      </c>
      <c r="N104" t="b">
        <f t="shared" si="10"/>
        <v>0</v>
      </c>
      <c r="O104" t="b">
        <f t="shared" si="11"/>
        <v>1</v>
      </c>
      <c r="P104" t="s">
        <v>127</v>
      </c>
      <c r="Q104">
        <v>0</v>
      </c>
      <c r="R104">
        <v>1</v>
      </c>
      <c r="S104">
        <v>400501</v>
      </c>
      <c r="T104">
        <v>0</v>
      </c>
      <c r="U104">
        <v>0</v>
      </c>
      <c r="V104">
        <v>0</v>
      </c>
      <c r="W104">
        <v>0</v>
      </c>
      <c r="X104" t="s">
        <v>76</v>
      </c>
    </row>
    <row r="105" spans="1:24">
      <c r="A105" t="s">
        <v>0</v>
      </c>
      <c r="B105">
        <v>0</v>
      </c>
      <c r="C105">
        <v>1</v>
      </c>
      <c r="D105">
        <v>400504</v>
      </c>
      <c r="E105">
        <v>0</v>
      </c>
      <c r="F105">
        <v>478</v>
      </c>
      <c r="G105">
        <v>0</v>
      </c>
      <c r="H105">
        <v>0</v>
      </c>
      <c r="I105">
        <v>478</v>
      </c>
      <c r="J105" t="s">
        <v>76</v>
      </c>
      <c r="K105">
        <v>0</v>
      </c>
      <c r="L105" t="b">
        <f t="shared" si="8"/>
        <v>0</v>
      </c>
      <c r="M105" t="b">
        <f t="shared" si="9"/>
        <v>1</v>
      </c>
      <c r="N105" t="b">
        <f t="shared" si="10"/>
        <v>0</v>
      </c>
      <c r="O105" t="b">
        <f t="shared" si="11"/>
        <v>0</v>
      </c>
    </row>
    <row r="106" spans="1:24">
      <c r="L106" t="b">
        <f t="shared" si="8"/>
        <v>0</v>
      </c>
      <c r="M106" t="b">
        <f t="shared" si="9"/>
        <v>1</v>
      </c>
      <c r="N106" t="b">
        <f t="shared" si="10"/>
        <v>0</v>
      </c>
      <c r="O106" t="b">
        <f t="shared" si="11"/>
        <v>0</v>
      </c>
      <c r="P106" t="s">
        <v>127</v>
      </c>
      <c r="Q106">
        <v>0</v>
      </c>
      <c r="R106">
        <v>1</v>
      </c>
      <c r="S106">
        <v>400505</v>
      </c>
      <c r="T106">
        <v>0</v>
      </c>
      <c r="U106">
        <v>0</v>
      </c>
      <c r="V106">
        <v>0</v>
      </c>
      <c r="W106">
        <v>871</v>
      </c>
      <c r="X106" t="s">
        <v>76</v>
      </c>
    </row>
    <row r="107" spans="1:24">
      <c r="A107" t="s">
        <v>0</v>
      </c>
      <c r="B107">
        <v>0</v>
      </c>
      <c r="C107">
        <v>1</v>
      </c>
      <c r="D107">
        <v>400513</v>
      </c>
      <c r="E107">
        <v>18</v>
      </c>
      <c r="F107">
        <v>0</v>
      </c>
      <c r="G107">
        <v>0</v>
      </c>
      <c r="H107">
        <v>18</v>
      </c>
      <c r="I107">
        <v>0</v>
      </c>
      <c r="J107" t="s">
        <v>76</v>
      </c>
      <c r="K107">
        <v>0</v>
      </c>
      <c r="L107" t="b">
        <f t="shared" si="8"/>
        <v>1</v>
      </c>
      <c r="M107" t="b">
        <f t="shared" si="9"/>
        <v>1</v>
      </c>
      <c r="N107" t="b">
        <f t="shared" si="10"/>
        <v>1</v>
      </c>
      <c r="O107" t="b">
        <f t="shared" si="11"/>
        <v>1</v>
      </c>
      <c r="P107" t="s">
        <v>127</v>
      </c>
      <c r="Q107">
        <v>0</v>
      </c>
      <c r="R107">
        <v>1</v>
      </c>
      <c r="S107">
        <v>400513</v>
      </c>
      <c r="T107">
        <v>0</v>
      </c>
      <c r="U107">
        <v>0</v>
      </c>
      <c r="V107">
        <v>18</v>
      </c>
      <c r="W107">
        <v>0</v>
      </c>
      <c r="X107" t="s">
        <v>76</v>
      </c>
    </row>
    <row r="108" spans="1:24">
      <c r="A108" t="s">
        <v>0</v>
      </c>
      <c r="B108">
        <v>0</v>
      </c>
      <c r="C108">
        <v>1</v>
      </c>
      <c r="D108" t="s">
        <v>141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123</v>
      </c>
      <c r="K108">
        <v>0</v>
      </c>
      <c r="L108" t="b">
        <f t="shared" si="8"/>
        <v>0</v>
      </c>
      <c r="M108" t="b">
        <f t="shared" si="9"/>
        <v>1</v>
      </c>
      <c r="N108" t="b">
        <f t="shared" si="10"/>
        <v>1</v>
      </c>
      <c r="O108" t="b">
        <f t="shared" si="11"/>
        <v>1</v>
      </c>
      <c r="P108" t="s">
        <v>127</v>
      </c>
      <c r="Q108">
        <v>0</v>
      </c>
      <c r="R108">
        <v>1</v>
      </c>
      <c r="S108">
        <v>400520</v>
      </c>
      <c r="T108">
        <v>0</v>
      </c>
      <c r="U108">
        <v>0</v>
      </c>
      <c r="V108">
        <v>0</v>
      </c>
      <c r="W108">
        <v>0</v>
      </c>
      <c r="X108" t="s">
        <v>123</v>
      </c>
    </row>
    <row r="109" spans="1:24">
      <c r="A109" t="s">
        <v>0</v>
      </c>
      <c r="B109">
        <v>0</v>
      </c>
      <c r="C109">
        <v>1</v>
      </c>
      <c r="D109">
        <v>400523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123</v>
      </c>
      <c r="K109">
        <v>0</v>
      </c>
      <c r="L109" t="b">
        <f t="shared" si="8"/>
        <v>1</v>
      </c>
      <c r="M109" t="b">
        <f t="shared" si="9"/>
        <v>1</v>
      </c>
      <c r="N109" t="b">
        <f t="shared" si="10"/>
        <v>1</v>
      </c>
      <c r="O109" t="b">
        <f t="shared" si="11"/>
        <v>1</v>
      </c>
      <c r="P109" t="s">
        <v>127</v>
      </c>
      <c r="Q109">
        <v>0</v>
      </c>
      <c r="R109">
        <v>1</v>
      </c>
      <c r="S109">
        <v>400523</v>
      </c>
      <c r="T109">
        <v>0</v>
      </c>
      <c r="U109">
        <v>0</v>
      </c>
      <c r="V109">
        <v>0</v>
      </c>
      <c r="W109">
        <v>0</v>
      </c>
      <c r="X109" t="s">
        <v>123</v>
      </c>
    </row>
    <row r="110" spans="1:24">
      <c r="A110" t="s">
        <v>0</v>
      </c>
      <c r="B110">
        <v>0</v>
      </c>
      <c r="C110">
        <v>1</v>
      </c>
      <c r="D110">
        <v>400524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76</v>
      </c>
      <c r="K110">
        <v>0</v>
      </c>
      <c r="L110" t="b">
        <f t="shared" si="8"/>
        <v>1</v>
      </c>
      <c r="M110" t="b">
        <f t="shared" si="9"/>
        <v>1</v>
      </c>
      <c r="N110" t="b">
        <f>J110=X110</f>
        <v>0</v>
      </c>
      <c r="O110" t="b">
        <f t="shared" si="11"/>
        <v>1</v>
      </c>
      <c r="P110" t="s">
        <v>127</v>
      </c>
      <c r="Q110">
        <v>0</v>
      </c>
      <c r="R110">
        <v>1</v>
      </c>
      <c r="S110">
        <v>400524</v>
      </c>
      <c r="T110">
        <v>0</v>
      </c>
      <c r="U110">
        <v>0</v>
      </c>
      <c r="V110">
        <v>0</v>
      </c>
      <c r="W110">
        <v>0</v>
      </c>
      <c r="X110" t="s">
        <v>123</v>
      </c>
    </row>
    <row r="111" spans="1:24">
      <c r="A111" t="s">
        <v>0</v>
      </c>
      <c r="B111">
        <v>0</v>
      </c>
      <c r="C111">
        <v>1</v>
      </c>
      <c r="D111">
        <v>400701</v>
      </c>
      <c r="E111">
        <v>100000</v>
      </c>
      <c r="F111">
        <v>0</v>
      </c>
      <c r="G111">
        <v>0</v>
      </c>
      <c r="H111">
        <v>100000</v>
      </c>
      <c r="I111">
        <v>0</v>
      </c>
      <c r="J111" t="s">
        <v>76</v>
      </c>
      <c r="K111">
        <v>0</v>
      </c>
      <c r="L111" t="b">
        <f t="shared" si="8"/>
        <v>1</v>
      </c>
      <c r="M111" t="b">
        <f t="shared" si="9"/>
        <v>1</v>
      </c>
      <c r="N111" t="b">
        <f>J111=X111</f>
        <v>0</v>
      </c>
      <c r="O111" t="b">
        <f t="shared" si="11"/>
        <v>1</v>
      </c>
      <c r="P111" t="s">
        <v>127</v>
      </c>
      <c r="Q111">
        <v>0</v>
      </c>
      <c r="R111">
        <v>1</v>
      </c>
      <c r="S111">
        <v>400701</v>
      </c>
      <c r="T111">
        <v>0</v>
      </c>
      <c r="U111">
        <v>0</v>
      </c>
      <c r="V111">
        <v>100000</v>
      </c>
      <c r="W111">
        <v>0</v>
      </c>
      <c r="X111" t="s">
        <v>123</v>
      </c>
    </row>
    <row r="112" spans="1:24">
      <c r="A112" t="s">
        <v>0</v>
      </c>
      <c r="B112">
        <v>0</v>
      </c>
      <c r="C112">
        <v>1</v>
      </c>
      <c r="D112">
        <v>400702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123</v>
      </c>
      <c r="K112">
        <v>0</v>
      </c>
      <c r="L112" t="b">
        <f t="shared" si="8"/>
        <v>1</v>
      </c>
      <c r="M112" t="b">
        <f t="shared" si="9"/>
        <v>1</v>
      </c>
      <c r="N112" t="b">
        <f t="shared" si="10"/>
        <v>1</v>
      </c>
      <c r="O112" t="b">
        <f t="shared" si="11"/>
        <v>1</v>
      </c>
      <c r="P112" t="s">
        <v>127</v>
      </c>
      <c r="Q112">
        <v>0</v>
      </c>
      <c r="R112">
        <v>1</v>
      </c>
      <c r="S112">
        <v>400702</v>
      </c>
      <c r="T112">
        <v>0</v>
      </c>
      <c r="U112">
        <v>0</v>
      </c>
      <c r="V112">
        <v>0</v>
      </c>
      <c r="W112">
        <v>0</v>
      </c>
      <c r="X112" t="s">
        <v>123</v>
      </c>
    </row>
    <row r="113" spans="1:24">
      <c r="A113" t="s">
        <v>0</v>
      </c>
      <c r="B113">
        <v>0</v>
      </c>
      <c r="C113">
        <v>1</v>
      </c>
      <c r="D113">
        <v>400703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123</v>
      </c>
      <c r="K113">
        <v>0</v>
      </c>
      <c r="L113" t="b">
        <f t="shared" si="8"/>
        <v>1</v>
      </c>
      <c r="M113" t="b">
        <f t="shared" si="9"/>
        <v>1</v>
      </c>
      <c r="N113" t="b">
        <f t="shared" si="10"/>
        <v>1</v>
      </c>
      <c r="O113" t="b">
        <f t="shared" si="11"/>
        <v>1</v>
      </c>
      <c r="P113" t="s">
        <v>127</v>
      </c>
      <c r="Q113">
        <v>0</v>
      </c>
      <c r="R113">
        <v>1</v>
      </c>
      <c r="S113">
        <v>400703</v>
      </c>
      <c r="T113">
        <v>0</v>
      </c>
      <c r="U113">
        <v>0</v>
      </c>
      <c r="V113">
        <v>0</v>
      </c>
      <c r="W113">
        <v>0</v>
      </c>
      <c r="X113" t="s">
        <v>123</v>
      </c>
    </row>
    <row r="114" spans="1:24">
      <c r="A114" t="s">
        <v>0</v>
      </c>
      <c r="B114">
        <v>0</v>
      </c>
      <c r="C114">
        <v>1</v>
      </c>
      <c r="D114">
        <v>400999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123</v>
      </c>
      <c r="K114">
        <v>0</v>
      </c>
      <c r="L114" t="b">
        <f t="shared" si="8"/>
        <v>1</v>
      </c>
      <c r="M114" t="b">
        <f t="shared" si="9"/>
        <v>1</v>
      </c>
      <c r="N114" t="b">
        <f t="shared" si="10"/>
        <v>1</v>
      </c>
      <c r="O114" t="b">
        <f t="shared" si="11"/>
        <v>1</v>
      </c>
      <c r="P114" t="s">
        <v>127</v>
      </c>
      <c r="Q114">
        <v>0</v>
      </c>
      <c r="R114">
        <v>1</v>
      </c>
      <c r="S114">
        <v>400999</v>
      </c>
      <c r="T114">
        <v>0</v>
      </c>
      <c r="U114">
        <v>0</v>
      </c>
      <c r="V114">
        <v>0</v>
      </c>
      <c r="W114">
        <v>0</v>
      </c>
      <c r="X114" t="s">
        <v>123</v>
      </c>
    </row>
    <row r="115" spans="1:24">
      <c r="A115" t="s">
        <v>0</v>
      </c>
      <c r="B115">
        <v>0</v>
      </c>
      <c r="C115">
        <v>1</v>
      </c>
      <c r="D115">
        <v>999991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123</v>
      </c>
      <c r="K115">
        <v>0</v>
      </c>
      <c r="L115" t="b">
        <f t="shared" si="8"/>
        <v>1</v>
      </c>
      <c r="M115" t="b">
        <f t="shared" si="9"/>
        <v>1</v>
      </c>
      <c r="N115" t="b">
        <f t="shared" si="10"/>
        <v>1</v>
      </c>
      <c r="O115" t="b">
        <f t="shared" si="11"/>
        <v>1</v>
      </c>
      <c r="P115" t="s">
        <v>127</v>
      </c>
      <c r="Q115">
        <v>0</v>
      </c>
      <c r="R115">
        <v>1</v>
      </c>
      <c r="S115">
        <v>999991</v>
      </c>
      <c r="T115">
        <v>0</v>
      </c>
      <c r="U115">
        <v>0</v>
      </c>
      <c r="V115">
        <v>0</v>
      </c>
      <c r="W115">
        <v>0</v>
      </c>
      <c r="X115" t="s">
        <v>123</v>
      </c>
    </row>
  </sheetData>
  <conditionalFormatting sqref="L2:O115">
    <cfRule type="containsText" dxfId="1" priority="1" operator="containsText" text="TRUE">
      <formula>NOT(ISERROR(SEARCH("TRUE",L2)))</formula>
    </cfRule>
    <cfRule type="containsText" dxfId="0" priority="2" operator="containsText" text="FALSE">
      <formula>NOT(ISERROR(SEARCH("FALSE",L2)))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PMBP001029427Z01</vt:lpstr>
      <vt:lpstr>Build</vt:lpstr>
      <vt:lpstr>Item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Ranjith Rajkumar</cp:lastModifiedBy>
  <cp:revision/>
  <dcterms:created xsi:type="dcterms:W3CDTF">2015-06-05T18:17:20Z</dcterms:created>
  <dcterms:modified xsi:type="dcterms:W3CDTF">2026-08-10T08:29:10Z</dcterms:modified>
  <cp:category/>
  <cp:contentStatus/>
</cp:coreProperties>
</file>